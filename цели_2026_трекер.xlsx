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ложка" sheetId="1" state="visible" r:id="rId2"/>
    <sheet name="Дашборд" sheetId="2" state="visible" r:id="rId3"/>
    <sheet name="Генеральные цели" sheetId="3" state="visible" r:id="rId4"/>
    <sheet name="Подзадачи" sheetId="4" state="visible" r:id="rId5"/>
    <sheet name="Расписание дня" sheetId="5" state="visible" r:id="rId6"/>
    <sheet name="По месяцам" sheetId="6" state="visible" r:id="rId7"/>
    <sheet name="Миллиардеры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<sst xmlns="http://schemas.openxmlformats.org/spreadsheetml/2006/main" count="558" uniqueCount="349">
  <si>
    <t xml:space="preserve">ЦЕЛИ 2026: ДОСТИЖЕНИЯ И РОСТ</t>
  </si>
  <si>
    <t xml:space="preserve">Иерархический трекер: Генеральные цели → Подзадачи → Исполнение</t>
  </si>
  <si>
    <t xml:space="preserve">КЛЮЧЕВЫЕ МЕТРИКИ</t>
  </si>
  <si>
    <t xml:space="preserve">Показатель</t>
  </si>
  <si>
    <t xml:space="preserve">Цель</t>
  </si>
  <si>
    <t xml:space="preserve">Дедлайн</t>
  </si>
  <si>
    <t xml:space="preserve">Статус</t>
  </si>
  <si>
    <t xml:space="preserve">Генеральных целей</t>
  </si>
  <si>
    <t xml:space="preserve">6</t>
  </si>
  <si>
    <t xml:space="preserve">31.12.2026</t>
  </si>
  <si>
    <t xml:space="preserve">В работе</t>
  </si>
  <si>
    <t xml:space="preserve">Всего подзадач</t>
  </si>
  <si>
    <t xml:space="preserve">40+</t>
  </si>
  <si>
    <t xml:space="preserve">По плану</t>
  </si>
  <si>
    <t xml:space="preserve">Срочных до 1 мая</t>
  </si>
  <si>
    <t xml:space="preserve">5 подзадач</t>
  </si>
  <si>
    <t xml:space="preserve">01.05.2026</t>
  </si>
  <si>
    <t xml:space="preserve">🔥 Горят</t>
  </si>
  <si>
    <t xml:space="preserve">Целевой доход</t>
  </si>
  <si>
    <t xml:space="preserve">5 млн ₽/мес</t>
  </si>
  <si>
    <t xml:space="preserve">Ноябрь 2026</t>
  </si>
  <si>
    <t xml:space="preserve">В процессе</t>
  </si>
  <si>
    <t xml:space="preserve">Стартовый вес</t>
  </si>
  <si>
    <t xml:space="preserve">90 кг → целевой</t>
  </si>
  <si>
    <t xml:space="preserve">Декабрь 2026</t>
  </si>
  <si>
    <t xml:space="preserve">Трекинг</t>
  </si>
  <si>
    <t xml:space="preserve">Книг прочитать</t>
  </si>
  <si>
    <t xml:space="preserve">20 книг</t>
  </si>
  <si>
    <t xml:space="preserve">0/20</t>
  </si>
  <si>
    <t xml:space="preserve">Миллиардеров</t>
  </si>
  <si>
    <t xml:space="preserve">10 человек</t>
  </si>
  <si>
    <t xml:space="preserve">0/10</t>
  </si>
  <si>
    <t xml:space="preserve">СТРУКТУРА ФАЙЛА</t>
  </si>
  <si>
    <t xml:space="preserve">1. Обложка</t>
  </si>
  <si>
    <t xml:space="preserve">Титульная страница с навигацией</t>
  </si>
  <si>
    <t xml:space="preserve">2. Дашборд</t>
  </si>
  <si>
    <t xml:space="preserve">KPI + прогресс-бары + графики</t>
  </si>
  <si>
    <t xml:space="preserve">3. Генеральные цели</t>
  </si>
  <si>
    <t xml:space="preserve">6 главных целей с авто-прогрессом</t>
  </si>
  <si>
    <t xml:space="preserve">4. Подзадачи</t>
  </si>
  <si>
    <t xml:space="preserve">36+ шагов с % и выпадающими списками</t>
  </si>
  <si>
    <t xml:space="preserve">5. Расписание дня</t>
  </si>
  <si>
    <t xml:space="preserve">Распорядок на каждый день, 28.04 — 30.06</t>
  </si>
  <si>
    <t xml:space="preserve">6. По месяцам</t>
  </si>
  <si>
    <t xml:space="preserve">Помесячный трекер KPI</t>
  </si>
  <si>
    <t xml:space="preserve">7. Миллиардеры</t>
  </si>
  <si>
    <t xml:space="preserve">10 целевых контактов</t>
  </si>
  <si>
    <t xml:space="preserve">💡 Заполняй 'Подзадачи' — прогресс обновляется в 'Дашборд'. Расписание на 64 дня.</t>
  </si>
  <si>
    <t xml:space="preserve">ДАШБОРД: ИНФОГРАФИКА ВЫПОЛНЕНИЯ</t>
  </si>
  <si>
    <t xml:space="preserve">Обновляется при изменении прогресса в листе 'Подзадачи'</t>
  </si>
  <si>
    <t xml:space="preserve">ДЕНЬ</t>
  </si>
  <si>
    <t xml:space="preserve">НЕДЕЛЯ</t>
  </si>
  <si>
    <t xml:space="preserve">МЕСЯЦ</t>
  </si>
  <si>
    <t xml:space="preserve">КВАРТАЛ</t>
  </si>
  <si>
    <t xml:space="preserve">ГОД</t>
  </si>
  <si>
    <t xml:space="preserve">3</t>
  </si>
  <si>
    <t xml:space="preserve">5</t>
  </si>
  <si>
    <t xml:space="preserve">7</t>
  </si>
  <si>
    <t xml:space="preserve">9</t>
  </si>
  <si>
    <t xml:space="preserve">11</t>
  </si>
  <si>
    <t xml:space="preserve">Срочных задач</t>
  </si>
  <si>
    <t xml:space="preserve">Активных целей</t>
  </si>
  <si>
    <t xml:space="preserve">Задач в работе</t>
  </si>
  <si>
    <t xml:space="preserve">Целей к сроку</t>
  </si>
  <si>
    <t xml:space="preserve">Всего целей</t>
  </si>
  <si>
    <t xml:space="preserve">ПРОГРЕСС-БАРЫ ПО ГЕНЕРАЛЬНЫМ ЦЕЛЯМ</t>
  </si>
  <si>
    <t xml:space="preserve">ID</t>
  </si>
  <si>
    <t xml:space="preserve">Генеральная цель</t>
  </si>
  <si>
    <t xml:space="preserve">Прогресс %</t>
  </si>
  <si>
    <t xml:space="preserve">Бегунок</t>
  </si>
  <si>
    <t xml:space="preserve">Визуализация</t>
  </si>
  <si>
    <t xml:space="preserve">Финансовая независимость</t>
  </si>
  <si>
    <t xml:space="preserve">Интеллектуальный рост</t>
  </si>
  <si>
    <t xml:space="preserve">Творческая реализация</t>
  </si>
  <si>
    <t xml:space="preserve">Сексуальное тело</t>
  </si>
  <si>
    <t xml:space="preserve">Бизнес-присутствие</t>
  </si>
  <si>
    <t xml:space="preserve">Нетворкинг элиты</t>
  </si>
  <si>
    <t xml:space="preserve">ОБЩИЙ ПРОГРЕСС ПО ВСЕМ ЦЕЛЯМ</t>
  </si>
  <si>
    <t xml:space="preserve">Среднее по 6 целям:</t>
  </si>
  <si>
    <t xml:space="preserve">КЛЮЧЕВЫЕ ПОКАЗАТЕЛИ</t>
  </si>
  <si>
    <t xml:space="preserve">Книги прочитано</t>
  </si>
  <si>
    <t xml:space="preserve">0 / 20</t>
  </si>
  <si>
    <t xml:space="preserve">Нейронки изучено</t>
  </si>
  <si>
    <t xml:space="preserve">0 / 8</t>
  </si>
  <si>
    <t xml:space="preserve">0 / 10</t>
  </si>
  <si>
    <t xml:space="preserve">Доход к цели</t>
  </si>
  <si>
    <t xml:space="preserve">0 / 5000</t>
  </si>
  <si>
    <t xml:space="preserve">Английский</t>
  </si>
  <si>
    <t xml:space="preserve">Старт / Разг.</t>
  </si>
  <si>
    <t xml:space="preserve">Прогресс</t>
  </si>
  <si>
    <t xml:space="preserve">Кат</t>
  </si>
  <si>
    <t xml:space="preserve">Знач</t>
  </si>
  <si>
    <t xml:space="preserve">Месяц</t>
  </si>
  <si>
    <t xml:space="preserve">Доход</t>
  </si>
  <si>
    <t xml:space="preserve">Финансы</t>
  </si>
  <si>
    <t xml:space="preserve">Апр</t>
  </si>
  <si>
    <t xml:space="preserve">Образование</t>
  </si>
  <si>
    <t xml:space="preserve">Май</t>
  </si>
  <si>
    <t xml:space="preserve">Личное</t>
  </si>
  <si>
    <t xml:space="preserve">Июн</t>
  </si>
  <si>
    <t xml:space="preserve">Бизнес</t>
  </si>
  <si>
    <t xml:space="preserve">Июл</t>
  </si>
  <si>
    <t xml:space="preserve">Творчество</t>
  </si>
  <si>
    <t xml:space="preserve">Авг</t>
  </si>
  <si>
    <t xml:space="preserve">Нетворкинг</t>
  </si>
  <si>
    <t xml:space="preserve">Сен</t>
  </si>
  <si>
    <t xml:space="preserve">Окт</t>
  </si>
  <si>
    <t xml:space="preserve">Ноя</t>
  </si>
  <si>
    <t xml:space="preserve">Дек</t>
  </si>
  <si>
    <t xml:space="preserve">ГЕНЕРАЛЬНЫЕ ЦЕЛИ 2026</t>
  </si>
  <si>
    <t xml:space="preserve">6 стратегических направлений. Прогресс = среднее подзадач.</t>
  </si>
  <si>
    <t xml:space="preserve">Описание</t>
  </si>
  <si>
    <t xml:space="preserve">Доход 5 млн ₽/мес через абонентские контракты на управление проектами</t>
  </si>
  <si>
    <t xml:space="preserve">20 книг + 8 нейросетей + базовый разговорный английский</t>
  </si>
  <si>
    <t xml:space="preserve">Написать и издать книгу + письмо Президенту</t>
  </si>
  <si>
    <t xml:space="preserve">С 90 кг: ходьба → бег → домашние тренировки → зал + белковое питание</t>
  </si>
  <si>
    <t xml:space="preserve">10.05.2026</t>
  </si>
  <si>
    <t xml:space="preserve">Сайт Сергею до 1 мая + свой сайт до 10 мая + SEO</t>
  </si>
  <si>
    <t xml:space="preserve">Установить личный контакт с 10 миллиардерами</t>
  </si>
  <si>
    <t xml:space="preserve">ИТОГОВЫЙ ПРОГРЕСС: среднее по всем генеральным целям</t>
  </si>
  <si>
    <t xml:space="preserve">ОБЩИЙ ПРОГРЕСС ПО ВСЕМ ЦЕЛЯМ:</t>
  </si>
  <si>
    <t xml:space="preserve">ПОДЗАДАЧИ: ШАГИ К ГЕНЕРАЛЬНЫМ ЦЕЛЯМ</t>
  </si>
  <si>
    <t xml:space="preserve">Заполняйте столбец 'Прогресс %' от 0 до 100. Статус выбирайте из списка.</t>
  </si>
  <si>
    <t xml:space="preserve">ID цели</t>
  </si>
  <si>
    <t xml:space="preserve">Подзадача</t>
  </si>
  <si>
    <t xml:space="preserve">Категория</t>
  </si>
  <si>
    <t xml:space="preserve">Описание / Действия</t>
  </si>
  <si>
    <t xml:space="preserve">Открыть ИП</t>
  </si>
  <si>
    <t xml:space="preserve">Выполнено</t>
  </si>
  <si>
    <t xml:space="preserve">ИП открыто 28.04.2026</t>
  </si>
  <si>
    <t xml:space="preserve">Сделать себе сайт</t>
  </si>
  <si>
    <t xml:space="preserve">CMS + контент + SEO до 10 мая</t>
  </si>
  <si>
    <t xml:space="preserve">Контракт Чукотка (Крылья Чукотки)</t>
  </si>
  <si>
    <t xml:space="preserve">30.06.2026</t>
  </si>
  <si>
    <t xml:space="preserve">Подготовить КП, абонентка</t>
  </si>
  <si>
    <t xml:space="preserve">Второй абонентский контракт</t>
  </si>
  <si>
    <t xml:space="preserve">31.08.2026</t>
  </si>
  <si>
    <t xml:space="preserve">Не начато</t>
  </si>
  <si>
    <t xml:space="preserve">Цель: 2-й клиент на ПМ</t>
  </si>
  <si>
    <t xml:space="preserve">Третий абонентский контракт</t>
  </si>
  <si>
    <t xml:space="preserve">30.09.2026</t>
  </si>
  <si>
    <t xml:space="preserve">Цель: 3-й клиент</t>
  </si>
  <si>
    <t xml:space="preserve">Достичь дохода 5 млн ₽/мес</t>
  </si>
  <si>
    <t xml:space="preserve">3-5 контрактов на абонентке</t>
  </si>
  <si>
    <t xml:space="preserve">Прочитать 20 книг</t>
  </si>
  <si>
    <t xml:space="preserve">2 книги/мес — бизнес, психология</t>
  </si>
  <si>
    <t xml:space="preserve">Изучить новые нейронки (1/мес)</t>
  </si>
  <si>
    <t xml:space="preserve">Апр-дек: 8 нейросетей</t>
  </si>
  <si>
    <t xml:space="preserve">Выучить английский (разговорный)</t>
  </si>
  <si>
    <t xml:space="preserve">Приложение 30 мин/день</t>
  </si>
  <si>
    <t xml:space="preserve">Написать письмо Президенту</t>
  </si>
  <si>
    <t xml:space="preserve">Черновик готов, оформить и отправить</t>
  </si>
  <si>
    <t xml:space="preserve">Выбрать тему книги</t>
  </si>
  <si>
    <t xml:space="preserve">31.05.2026</t>
  </si>
  <si>
    <t xml:space="preserve">Определить жанр и аудиторию</t>
  </si>
  <si>
    <t xml:space="preserve">Написать план книги</t>
  </si>
  <si>
    <t xml:space="preserve">Структура, оглавление, главы</t>
  </si>
  <si>
    <t xml:space="preserve">Написать первую главу</t>
  </si>
  <si>
    <t xml:space="preserve">31.07.2026</t>
  </si>
  <si>
    <t xml:space="preserve">Цель: 500 слов/день</t>
  </si>
  <si>
    <t xml:space="preserve">Написать 50% книги</t>
  </si>
  <si>
    <t xml:space="preserve">31.10.2026</t>
  </si>
  <si>
    <t xml:space="preserve">Половина рукописи</t>
  </si>
  <si>
    <t xml:space="preserve">Завершить книгу</t>
  </si>
  <si>
    <t xml:space="preserve">Финал, редактура</t>
  </si>
  <si>
    <t xml:space="preserve">Этап 1: Ходьба 30 мин/день</t>
  </si>
  <si>
    <t xml:space="preserve">Здоровье</t>
  </si>
  <si>
    <t xml:space="preserve">Май 2026</t>
  </si>
  <si>
    <t xml:space="preserve">5 дней/неделю, лёгкий темп</t>
  </si>
  <si>
    <t xml:space="preserve">Этап 2: Чередование ходьба/бег</t>
  </si>
  <si>
    <t xml:space="preserve">Июнь 2026</t>
  </si>
  <si>
    <t xml:space="preserve">2 дня ходьба + 1 день бег</t>
  </si>
  <si>
    <t xml:space="preserve">Этап 3: Лёгкая пробежка 3x/нед</t>
  </si>
  <si>
    <t xml:space="preserve">Июль 2026</t>
  </si>
  <si>
    <t xml:space="preserve">20-30 мин, 3 раза в неделю</t>
  </si>
  <si>
    <t xml:space="preserve">Этап 4: Домашние упражнения</t>
  </si>
  <si>
    <t xml:space="preserve">Август 2026</t>
  </si>
  <si>
    <t xml:space="preserve">Отжимания, приседания, планка</t>
  </si>
  <si>
    <t xml:space="preserve">Этап 5: Зал + белковое питание</t>
  </si>
  <si>
    <t xml:space="preserve">Сентябрь 2026</t>
  </si>
  <si>
    <t xml:space="preserve">3x/нед силовые, 2 г/кг белка</t>
  </si>
  <si>
    <t xml:space="preserve">Этап 6: Силовые тренировки</t>
  </si>
  <si>
    <t xml:space="preserve">Жим, тяга, присед, прогрессия</t>
  </si>
  <si>
    <t xml:space="preserve">Этап 7: Рельеф и поддержание</t>
  </si>
  <si>
    <t xml:space="preserve">Дефицит калорий, фото</t>
  </si>
  <si>
    <t xml:space="preserve">Доделать сайт Сергею</t>
  </si>
  <si>
    <t xml:space="preserve">Работа</t>
  </si>
  <si>
    <t xml:space="preserve">Финальные правки, тестирование</t>
  </si>
  <si>
    <t xml:space="preserve">Разработать свой сайт</t>
  </si>
  <si>
    <t xml:space="preserve">Дизайн + контент + формы</t>
  </si>
  <si>
    <t xml:space="preserve">SEO-оптимизация сайта</t>
  </si>
  <si>
    <t xml:space="preserve">Ключевые слова, метатеги</t>
  </si>
  <si>
    <t xml:space="preserve">Настроить рекламу / лиды</t>
  </si>
  <si>
    <t xml:space="preserve">Контекст или таргет</t>
  </si>
  <si>
    <t xml:space="preserve">Познакомиться с Дуровым</t>
  </si>
  <si>
    <t xml:space="preserve">TON конференции, крипто</t>
  </si>
  <si>
    <t xml:space="preserve">Познакомиться с Усмановым</t>
  </si>
  <si>
    <t xml:space="preserve">Форумы РСПП, стартапы</t>
  </si>
  <si>
    <t xml:space="preserve">Познакомиться с Потаниным</t>
  </si>
  <si>
    <t xml:space="preserve">Норникель проекты, КЭФ</t>
  </si>
  <si>
    <t xml:space="preserve">Познакомиться с Вексельбергом</t>
  </si>
  <si>
    <t xml:space="preserve">Сколково, Роснано</t>
  </si>
  <si>
    <t xml:space="preserve">Познакомиться с Тимченко</t>
  </si>
  <si>
    <t xml:space="preserve">Новатэк проекты, ЛНГ</t>
  </si>
  <si>
    <t xml:space="preserve">Познакомиться с Михельсоном</t>
  </si>
  <si>
    <t xml:space="preserve">СИБУР тендеры</t>
  </si>
  <si>
    <t xml:space="preserve">Познакомиться с Дерипаской</t>
  </si>
  <si>
    <t xml:space="preserve">РУСАЛ заводы, выставки</t>
  </si>
  <si>
    <t xml:space="preserve">Познакомиться с Фридманом</t>
  </si>
  <si>
    <t xml:space="preserve">Альфа-конференции</t>
  </si>
  <si>
    <t xml:space="preserve">Познакомиться с Абрамовичем</t>
  </si>
  <si>
    <t xml:space="preserve">Филантропия, Davos</t>
  </si>
  <si>
    <t xml:space="preserve">Познакомиться с Илоном Маском</t>
  </si>
  <si>
    <t xml:space="preserve">X/Twitter, конференции ИИ</t>
  </si>
  <si>
    <t xml:space="preserve">→ Заполняйте пустые строки ниже (41-100) для новых подзадач. ID цели выбирайте из списка.</t>
  </si>
  <si>
    <t xml:space="preserve">РАСПОРЯДОК ДНЯ: 28 АПРЕЛЯ — 30 ИЮНЯ 2026</t>
  </si>
  <si>
    <t xml:space="preserve">64 дня. Каждый час распланирован: спорт, работа, питание, развитие, сон.</t>
  </si>
  <si>
    <t xml:space="preserve">Дата</t>
  </si>
  <si>
    <t xml:space="preserve">День недели</t>
  </si>
  <si>
    <t xml:space="preserve">06:00-07:00
Подъём</t>
  </si>
  <si>
    <t xml:space="preserve">07:00-08:30
Спорт</t>
  </si>
  <si>
    <t xml:space="preserve">08:30-09:00
Завтрак</t>
  </si>
  <si>
    <t xml:space="preserve">09:00-13:00
Работа утро</t>
  </si>
  <si>
    <t xml:space="preserve">13:00-14:00
Обед</t>
  </si>
  <si>
    <t xml:space="preserve">14:00-18:00
Работа день</t>
  </si>
  <si>
    <t xml:space="preserve">18:00-19:00
Ужин</t>
  </si>
  <si>
    <t xml:space="preserve">19:00-21:30
Развитие</t>
  </si>
  <si>
    <t xml:space="preserve">21:30-22:30
Обзор</t>
  </si>
  <si>
    <t xml:space="preserve">Приоритет дня</t>
  </si>
  <si>
    <t xml:space="preserve">28.04.2026</t>
  </si>
  <si>
    <t xml:space="preserve">Вторник</t>
  </si>
  <si>
    <t xml:space="preserve">Подъём, вода, душ, зарядка 10 мин</t>
  </si>
  <si>
    <t xml:space="preserve">Ходьба 30 мин + растяжка</t>
  </si>
  <si>
    <t xml:space="preserve">Завтрак: яйца + овсянка + кофе</t>
  </si>
  <si>
    <t xml:space="preserve">🔥 Сайт Сергею / Свой сайт / Письмо Президенту</t>
  </si>
  <si>
    <t xml:space="preserve">Обед: курица/рыба + овощи + вода</t>
  </si>
  <si>
    <t xml:space="preserve">🔥 Финальные правки сайтов / Черновик письма</t>
  </si>
  <si>
    <t xml:space="preserve">Ужин: творог/рыба + салат (лёгкий)</t>
  </si>
  <si>
    <t xml:space="preserve">🤖 Нейросеть: тестируем новую + заметки</t>
  </si>
  <si>
    <t xml:space="preserve">Обзор дня, план на завтра, сон</t>
  </si>
  <si>
    <t xml:space="preserve">СРОЧНО: Сайты + Письмо до 1 мая</t>
  </si>
  <si>
    <t xml:space="preserve">29.04.2026</t>
  </si>
  <si>
    <t xml:space="preserve">Среда</t>
  </si>
  <si>
    <t xml:space="preserve">📚 Книга 45 мин + обзор дня</t>
  </si>
  <si>
    <t xml:space="preserve">30.04.2026</t>
  </si>
  <si>
    <t xml:space="preserve">Четверг</t>
  </si>
  <si>
    <t xml:space="preserve">🇬🇧 Английский 30 мин (приложение) + Книга</t>
  </si>
  <si>
    <t xml:space="preserve">Пятница</t>
  </si>
  <si>
    <t xml:space="preserve">Ходьба 20 мин + лёгкий бег 10 мин</t>
  </si>
  <si>
    <t xml:space="preserve">Свой сайт: SEO + контент / КП Чукотка</t>
  </si>
  <si>
    <t xml:space="preserve">Звонки клиентам / Портфолио / Дизайн</t>
  </si>
  <si>
    <t xml:space="preserve">🤖 Нейросеть + Планирование недели</t>
  </si>
  <si>
    <t xml:space="preserve">Сайт до 10 мая + КП Чукотка</t>
  </si>
  <si>
    <t xml:space="preserve">02.05.2026</t>
  </si>
  <si>
    <t xml:space="preserve">Суббота</t>
  </si>
  <si>
    <t xml:space="preserve">Глубокая работа: проекты без звонков</t>
  </si>
  <si>
    <t xml:space="preserve">Спорт дополнительно / Хобби / Свобода</t>
  </si>
  <si>
    <t xml:space="preserve">📚 Книга 1 час / Нетворкинг исследование</t>
  </si>
  <si>
    <t xml:space="preserve">Глубокая работа + Восстановление</t>
  </si>
  <si>
    <t xml:space="preserve">03.05.2026</t>
  </si>
  <si>
    <t xml:space="preserve">Воскресенье</t>
  </si>
  <si>
    <t xml:space="preserve">Прогулка 40 мин / Йога / Отдых</t>
  </si>
  <si>
    <t xml:space="preserve">Планирование недели / Стратегия / Анализ</t>
  </si>
  <si>
    <t xml:space="preserve">Личное: семья / отдых / прогулка</t>
  </si>
  <si>
    <t xml:space="preserve">🇬🇧 Английский + Обзор недели + Отдых</t>
  </si>
  <si>
    <t xml:space="preserve">Восстановление + План недели</t>
  </si>
  <si>
    <t xml:space="preserve">ЛЕГЕНДА: Красный фон (апрель) = СРОЧНЫЕ задачи до 1 мая | Синий фон = Суббота | Жёлтый фон = Воскресенье</t>
  </si>
  <si>
    <t xml:space="preserve">ПОМЕСЯЧНЫЙ ПЛАН ДЕЙСТВИЙ</t>
  </si>
  <si>
    <t xml:space="preserve">Апрель — Декабрь 2026 | Отслеживание ключевых KPI</t>
  </si>
  <si>
    <t xml:space="preserve">Книги план</t>
  </si>
  <si>
    <t xml:space="preserve">Книги факт</t>
  </si>
  <si>
    <t xml:space="preserve">Нейросеть</t>
  </si>
  <si>
    <t xml:space="preserve">Вес кг</t>
  </si>
  <si>
    <t xml:space="preserve">Доход тыс ₽</t>
  </si>
  <si>
    <t xml:space="preserve">Знакомства</t>
  </si>
  <si>
    <t xml:space="preserve">Контракты</t>
  </si>
  <si>
    <t xml:space="preserve">Апрель 2026</t>
  </si>
  <si>
    <t xml:space="preserve">GPT-4o / Claude 3.7</t>
  </si>
  <si>
    <t xml:space="preserve">Старт</t>
  </si>
  <si>
    <t xml:space="preserve">Подготовка ИП</t>
  </si>
  <si>
    <t xml:space="preserve">Midjourney v7 / Sora</t>
  </si>
  <si>
    <t xml:space="preserve">A1 → A2</t>
  </si>
  <si>
    <t xml:space="preserve">Письмо + сайты</t>
  </si>
  <si>
    <t xml:space="preserve">Gemini 2.5 / Grok</t>
  </si>
  <si>
    <t xml:space="preserve">A2</t>
  </si>
  <si>
    <t xml:space="preserve">Контракт Чукотка</t>
  </si>
  <si>
    <t xml:space="preserve">Perplexity / Copilot</t>
  </si>
  <si>
    <t xml:space="preserve">A2 → B1</t>
  </si>
  <si>
    <t xml:space="preserve">Первый абонент</t>
  </si>
  <si>
    <t xml:space="preserve">Runway / ElevenLabs</t>
  </si>
  <si>
    <t xml:space="preserve">B1</t>
  </si>
  <si>
    <t xml:space="preserve">2-й контракт</t>
  </si>
  <si>
    <t xml:space="preserve">Anthropic новая / xAI</t>
  </si>
  <si>
    <t xml:space="preserve">B1 → B2</t>
  </si>
  <si>
    <t xml:space="preserve">3-й контракт</t>
  </si>
  <si>
    <t xml:space="preserve">Октябрь 2026</t>
  </si>
  <si>
    <t xml:space="preserve">OpenAI новая / Meta AI</t>
  </si>
  <si>
    <t xml:space="preserve">B2</t>
  </si>
  <si>
    <t xml:space="preserve">4-й контракт</t>
  </si>
  <si>
    <t xml:space="preserve">Новая нейронка</t>
  </si>
  <si>
    <t xml:space="preserve">Цель: 5 млн ₽/мес</t>
  </si>
  <si>
    <t xml:space="preserve">Итоговая</t>
  </si>
  <si>
    <t xml:space="preserve">Разговорный</t>
  </si>
  <si>
    <t xml:space="preserve">Закрепление</t>
  </si>
  <si>
    <t xml:space="preserve">ИТОГО: 20 книг | 8 нейросетей | Целевой вес | 5 000 тыс ₽/мес | 10 знакомств</t>
  </si>
  <si>
    <t xml:space="preserve">10 МИЛЛИАРДЕРОВ ДЛЯ ЗНАКОМСТВА</t>
  </si>
  <si>
    <t xml:space="preserve">Цель: установить личный контакт до 31 декабря 2026</t>
  </si>
  <si>
    <t xml:space="preserve">№</t>
  </si>
  <si>
    <t xml:space="preserve">Имя</t>
  </si>
  <si>
    <t xml:space="preserve">Компания / Статус</t>
  </si>
  <si>
    <t xml:space="preserve">Страна</t>
  </si>
  <si>
    <t xml:space="preserve">Сфера</t>
  </si>
  <si>
    <t xml:space="preserve">Стратегия знакомства</t>
  </si>
  <si>
    <t xml:space="preserve">Статус контакта</t>
  </si>
  <si>
    <t xml:space="preserve">Павел Дуров</t>
  </si>
  <si>
    <t xml:space="preserve">Telegram / TON</t>
  </si>
  <si>
    <t xml:space="preserve">ОАЭ</t>
  </si>
  <si>
    <t xml:space="preserve">Технологии</t>
  </si>
  <si>
    <t xml:space="preserve">TON конференции, крипто-инвестиции</t>
  </si>
  <si>
    <t xml:space="preserve">Алишер Усманов</t>
  </si>
  <si>
    <t xml:space="preserve">USM Holdings / VK</t>
  </si>
  <si>
    <t xml:space="preserve">Россия / ОАЭ</t>
  </si>
  <si>
    <t xml:space="preserve">Телеком</t>
  </si>
  <si>
    <t xml:space="preserve">Роман Абрамович</t>
  </si>
  <si>
    <t xml:space="preserve">Evraz / Millhouse</t>
  </si>
  <si>
    <t xml:space="preserve">Португалия</t>
  </si>
  <si>
    <t xml:space="preserve">Инвестиции</t>
  </si>
  <si>
    <t xml:space="preserve">Davos, филантропия</t>
  </si>
  <si>
    <t xml:space="preserve">Владимир Потанин</t>
  </si>
  <si>
    <t xml:space="preserve">Interros / Норникель</t>
  </si>
  <si>
    <t xml:space="preserve">Россия</t>
  </si>
  <si>
    <t xml:space="preserve">Металлургия</t>
  </si>
  <si>
    <t xml:space="preserve">Виктор Вексельберг</t>
  </si>
  <si>
    <t xml:space="preserve">Ренова / Роснано</t>
  </si>
  <si>
    <t xml:space="preserve">Энергетика</t>
  </si>
  <si>
    <t xml:space="preserve">Михаил Фридман</t>
  </si>
  <si>
    <t xml:space="preserve">Alpha Group / Л1</t>
  </si>
  <si>
    <t xml:space="preserve">Россия / UK</t>
  </si>
  <si>
    <t xml:space="preserve">Геннадий Тимченко</t>
  </si>
  <si>
    <t xml:space="preserve">Волгагрупп / Новатэк</t>
  </si>
  <si>
    <t xml:space="preserve">Леонид Михельсон</t>
  </si>
  <si>
    <t xml:space="preserve">Новатэк / СИБУР</t>
  </si>
  <si>
    <t xml:space="preserve">Нефтехимия</t>
  </si>
  <si>
    <t xml:space="preserve">Олег Дерипаска</t>
  </si>
  <si>
    <t xml:space="preserve">RUSAL / Базовый Элемент</t>
  </si>
  <si>
    <t xml:space="preserve">Илон Маск</t>
  </si>
  <si>
    <t xml:space="preserve">Tesla / SpaceX / X</t>
  </si>
  <si>
    <t xml:space="preserve">США</t>
  </si>
  <si>
    <t xml:space="preserve">СОВЕТ: Начни с российских миллиардеров — точки входа через отраслевые конференции более реалистичны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</si>
</sst>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%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libri"/>
      <family val="2"/>
      <charset val="1"/>
    </font>
    <font>
      <i val="true"/>
      <sz val="10"/>
      <color rgb="FF888888"/>
      <name val="Calibri"/>
      <family val="2"/>
      <charset val="1"/>
    </font>
    <font>
      <b val="true"/>
      <sz val="14"/>
      <color rgb="FF0066CC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E74C3C"/>
      <name val="Calibri"/>
      <family val="2"/>
      <charset val="1"/>
    </font>
    <font>
      <b val="true"/>
      <sz val="11"/>
      <color rgb="FF0066CC"/>
      <name val="Calibri"/>
      <family val="2"/>
      <charset val="1"/>
    </font>
    <font>
      <i val="true"/>
      <sz val="9"/>
      <color rgb="FF888888"/>
      <name val="Calibri"/>
      <family val="2"/>
      <charset val="1"/>
    </font>
    <font>
      <b val="true"/>
      <sz val="9"/>
      <color rgb="FFE74C3C"/>
      <name val="Calibri"/>
      <family val="2"/>
      <charset val="1"/>
    </font>
    <font>
      <b val="true"/>
      <sz val="9"/>
      <color rgb="FFE67E22"/>
      <name val="Calibri"/>
      <family val="2"/>
      <charset val="1"/>
    </font>
    <font>
      <b val="true"/>
      <sz val="9"/>
      <color rgb="FFF1C40F"/>
      <name val="Calibri"/>
      <family val="2"/>
      <charset val="1"/>
    </font>
    <font>
      <b val="true"/>
      <sz val="9"/>
      <color rgb="FF27AE60"/>
      <name val="Calibri"/>
      <family val="2"/>
      <charset val="1"/>
    </font>
    <font>
      <b val="true"/>
      <sz val="9"/>
      <color rgb="FF0066CC"/>
      <name val="Calibri"/>
      <family val="2"/>
      <charset val="1"/>
    </font>
    <font>
      <b val="true"/>
      <sz val="24"/>
      <color rgb="FFE74C3C"/>
      <name val="Calibri"/>
      <family val="2"/>
      <charset val="1"/>
    </font>
    <font>
      <b val="true"/>
      <sz val="24"/>
      <color rgb="FFE67E22"/>
      <name val="Calibri"/>
      <family val="2"/>
      <charset val="1"/>
    </font>
    <font>
      <b val="true"/>
      <sz val="24"/>
      <color rgb="FFF1C40F"/>
      <name val="Calibri"/>
      <family val="2"/>
      <charset val="1"/>
    </font>
    <font>
      <b val="true"/>
      <sz val="24"/>
      <color rgb="FF27AE60"/>
      <name val="Calibri"/>
      <family val="2"/>
      <charset val="1"/>
    </font>
    <font>
      <b val="true"/>
      <sz val="24"/>
      <color rgb="FF0066CC"/>
      <name val="Calibri"/>
      <family val="2"/>
      <charset val="1"/>
    </font>
    <font>
      <sz val="9"/>
      <color rgb="FF666666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27AE60"/>
      <name val="Calibri"/>
      <family val="2"/>
      <charset val="1"/>
    </font>
    <font>
      <b val="true"/>
      <sz val="11"/>
      <color rgb="FFE67E22"/>
      <name val="Calibri"/>
      <family val="2"/>
      <charset val="1"/>
    </font>
    <font>
      <b val="true"/>
      <sz val="11"/>
      <color rgb="FF9B59B6"/>
      <name val="Calibri"/>
      <family val="2"/>
      <charset val="1"/>
    </font>
    <font>
      <b val="true"/>
      <sz val="11"/>
      <color rgb="FFF1C40F"/>
      <name val="Calibri"/>
      <family val="2"/>
      <charset val="1"/>
    </font>
    <font>
      <b val="true"/>
      <sz val="16"/>
      <color rgb="FF0066CC"/>
      <name val="Calibri"/>
      <family val="2"/>
      <charset val="1"/>
    </font>
    <font>
      <sz val="11"/>
      <color rgb="FF666666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333333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FDEDEC"/>
        <bgColor rgb="FFFFEAEA"/>
      </patternFill>
    </fill>
    <fill>
      <patternFill patternType="solid">
        <fgColor rgb="FFFEF5E7"/>
        <bgColor rgb="FFFFF8E1"/>
      </patternFill>
    </fill>
    <fill>
      <patternFill patternType="solid">
        <fgColor rgb="FFFCF3CF"/>
        <bgColor rgb="FFFFF8E1"/>
      </patternFill>
    </fill>
    <fill>
      <patternFill patternType="solid">
        <fgColor rgb="FFE9F7EF"/>
        <bgColor rgb="FFEBF5FB"/>
      </patternFill>
    </fill>
    <fill>
      <patternFill patternType="solid">
        <fgColor rgb="FFEBF5FB"/>
        <bgColor rgb="FFE9F7EF"/>
      </patternFill>
    </fill>
    <fill>
      <patternFill patternType="solid">
        <fgColor rgb="FFFFEAEA"/>
        <bgColor rgb="FFFDEDEC"/>
      </patternFill>
    </fill>
    <fill>
      <patternFill patternType="solid">
        <fgColor rgb="FFE6F0FA"/>
        <bgColor rgb="FFEBF5FB"/>
      </patternFill>
    </fill>
    <fill>
      <patternFill patternType="solid">
        <fgColor rgb="FFFFF8E1"/>
        <bgColor rgb="FFFEF5E7"/>
      </patternFill>
    </fill>
    <fill>
      <patternFill patternType="solid">
        <fgColor rgb="FFFFFFFF"/>
        <bgColor rgb="FFF9F9F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74C3C"/>
      </left>
      <right style="thin">
        <color rgb="FFE74C3C"/>
      </right>
      <top style="thin">
        <color rgb="FFE74C3C"/>
      </top>
      <bottom style="thin">
        <color rgb="FFE74C3C"/>
      </bottom>
      <diagonal/>
    </border>
    <border diagonalUp="false" diagonalDown="false"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 diagonalUp="false" diagonalDown="false">
      <left style="thin">
        <color rgb="FFF1C40F"/>
      </left>
      <right style="thin">
        <color rgb="FFF1C40F"/>
      </right>
      <top style="thin">
        <color rgb="FFF1C40F"/>
      </top>
      <bottom style="thin">
        <color rgb="FFF1C40F"/>
      </bottom>
      <diagonal/>
    </border>
    <border diagonalUp="false" diagonalDown="false"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DEC"/>
      <rgbColor rgb="FF878787"/>
      <rgbColor rgb="FF4A90D9"/>
      <rgbColor rgb="FF9B59B6"/>
      <rgbColor rgb="FFFFF8E1"/>
      <rgbColor rgb="FFE9F7EF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A"/>
      <rgbColor rgb="FFEBF5FB"/>
      <rgbColor rgb="FFFCF3CF"/>
      <rgbColor rgb="FFF9F9F9"/>
      <rgbColor rgb="FFFEF5E7"/>
      <rgbColor rgb="FFCC99FF"/>
      <rgbColor rgb="FFFFEAEA"/>
      <rgbColor rgb="FF4F81BD"/>
      <rgbColor rgb="FF33CCCC"/>
      <rgbColor rgb="FF99CC00"/>
      <rgbColor rgb="FFF1C40F"/>
      <rgbColor rgb="FFFF9900"/>
      <rgbColor rgb="FFE67E22"/>
      <rgbColor rgb="FF666666"/>
      <rgbColor rgb="FF888888"/>
      <rgbColor rgb="FF003366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Цели по категориям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"Цели по категориям"</c:f>
              <c:strCache>
                <c:ptCount val="1"/>
                <c:pt idx="0">
                  <c:v>Цели по категориям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66c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67e22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74c3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9b59b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1c40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0"/>
          </c:dLbls>
          <c:cat>
            <c:strRef>
              <c:f>Дашборд!$U$42:$U$47</c:f>
              <c:strCache>
                <c:ptCount val="6"/>
                <c:pt idx="0">
                  <c:v>Кат</c:v>
                </c:pt>
                <c:pt idx="1">
                  <c:v>Финансы</c:v>
                </c:pt>
                <c:pt idx="2">
                  <c:v>Образование</c:v>
                </c:pt>
                <c:pt idx="3">
                  <c:v>Личное</c:v>
                </c:pt>
                <c:pt idx="4">
                  <c:v>Бизнес</c:v>
                </c:pt>
                <c:pt idx="5">
                  <c:v>Творчество</c:v>
                </c:pt>
              </c:strCache>
            </c:strRef>
          </c:cat>
          <c:val>
            <c:numRef>
              <c:f>Дашборд!$V$42:$V$47</c:f>
              <c:numCache>
                <c:formatCode>General</c:formatCode>
                <c:ptCount val="6"/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Прогресс по целям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"Прогресс %"</c:f>
              <c:strCache>
                <c:ptCount val="1"/>
                <c:pt idx="0">
                  <c:v>Прогресс %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numFmt formatCode="0\%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Дашборд!$X$42:$X$47</c:f>
              <c:strCache>
                <c:ptCount val="6"/>
                <c:pt idx="0">
                  <c:v>Цель</c:v>
                </c:pt>
                <c:pt idx="1">
                  <c:v>Финансовая независимость</c:v>
                </c:pt>
                <c:pt idx="2">
                  <c:v>Интеллектуальный рост</c:v>
                </c:pt>
                <c:pt idx="3">
                  <c:v>Творческая реализация</c:v>
                </c:pt>
                <c:pt idx="4">
                  <c:v>Сексуальное тело</c:v>
                </c:pt>
                <c:pt idx="5">
                  <c:v>Бизнес-присутствие</c:v>
                </c:pt>
              </c:strCache>
            </c:strRef>
          </c:cat>
          <c:val>
            <c:numRef>
              <c:f>Дашборд!$Y$42:$Y$47</c:f>
              <c:numCache>
                <c:formatCode>General</c:formatCode>
                <c:ptCount val="6"/>
                <c:pt idx="1">
                  <c:v>20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35</c:v>
                </c:pt>
              </c:numCache>
            </c:numRef>
          </c:val>
        </c:ser>
        <c:gapWidth val="150"/>
        <c:overlap val="0"/>
        <c:axId val="37278558"/>
        <c:axId val="14790709"/>
      </c:barChart>
      <c:catAx>
        <c:axId val="372785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90709"/>
        <c:crosses val="autoZero"/>
        <c:auto val="1"/>
        <c:lblAlgn val="ctr"/>
        <c:lblOffset val="100"/>
        <c:noMultiLvlLbl val="0"/>
      </c:catAx>
      <c:valAx>
        <c:axId val="14790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78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План роста дохода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"Доход, тыс ₽"</c:f>
              <c:strCache>
                <c:ptCount val="1"/>
                <c:pt idx="0">
                  <c:v>Доход, тыс ₽</c:v>
                </c:pt>
              </c:strCache>
            </c:strRef>
          </c:tx>
          <c:spPr>
            <a:solidFill>
              <a:srgbClr val="0066cc"/>
            </a:solidFill>
            <a:ln w="31680">
              <a:solidFill>
                <a:srgbClr val="0066cc"/>
              </a:solidFill>
              <a:round/>
            </a:ln>
          </c:spPr>
          <c:marker>
            <c:symbol val="circle"/>
            <c:size val="7"/>
            <c:spPr>
              <a:solidFill>
                <a:srgbClr val="0066c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Дашборд!$AA$42:$AA$50</c:f>
              <c:strCache>
                <c:ptCount val="9"/>
                <c:pt idx="0">
                  <c:v>Месяц</c:v>
                </c:pt>
                <c:pt idx="1">
                  <c:v>Апр</c:v>
                </c:pt>
                <c:pt idx="2">
                  <c:v>Май</c:v>
                </c:pt>
                <c:pt idx="3">
                  <c:v>Июн</c:v>
                </c:pt>
                <c:pt idx="4">
                  <c:v>Июл</c:v>
                </c:pt>
                <c:pt idx="5">
                  <c:v>Авг</c:v>
                </c:pt>
                <c:pt idx="6">
                  <c:v>Сен</c:v>
                </c:pt>
                <c:pt idx="7">
                  <c:v>Окт</c:v>
                </c:pt>
                <c:pt idx="8">
                  <c:v>Ноя</c:v>
                </c:pt>
              </c:strCache>
            </c:strRef>
          </c:cat>
          <c:val>
            <c:numRef>
              <c:f>Дашборд!$AB$42:$AB$50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3500</c:v>
                </c:pt>
                <c:pt idx="8">
                  <c:v>5000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408522"/>
        <c:axId val="64908040"/>
      </c:lineChart>
      <c:catAx>
        <c:axId val="6240852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08040"/>
        <c:crosses val="autoZero"/>
        <c:auto val="1"/>
        <c:lblAlgn val="ctr"/>
        <c:lblOffset val="100"/>
        <c:noMultiLvlLbl val="0"/>
      </c:catAx>
      <c:valAx>
        <c:axId val="64908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08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4</xdr:col>
      <xdr:colOff>676080</xdr:colOff>
      <xdr:row>42</xdr:row>
      <xdr:rowOff>190080</xdr:rowOff>
    </xdr:to>
    <xdr:graphicFrame>
      <xdr:nvGraphicFramePr>
        <xdr:cNvPr id="0" name="Chart 1"/>
        <xdr:cNvGraphicFramePr/>
      </xdr:nvGraphicFramePr>
      <xdr:xfrm>
        <a:off x="191160" y="8705880"/>
        <a:ext cx="378684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12</xdr:col>
      <xdr:colOff>866520</xdr:colOff>
      <xdr:row>42</xdr:row>
      <xdr:rowOff>190080</xdr:rowOff>
    </xdr:to>
    <xdr:graphicFrame>
      <xdr:nvGraphicFramePr>
        <xdr:cNvPr id="1" name="Chart 2"/>
        <xdr:cNvGraphicFramePr/>
      </xdr:nvGraphicFramePr>
      <xdr:xfrm>
        <a:off x="7711560" y="8705880"/>
        <a:ext cx="39772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5</xdr:col>
      <xdr:colOff>75960</xdr:colOff>
      <xdr:row>56</xdr:row>
      <xdr:rowOff>190440</xdr:rowOff>
    </xdr:to>
    <xdr:graphicFrame>
      <xdr:nvGraphicFramePr>
        <xdr:cNvPr id="2" name="Chart 3"/>
        <xdr:cNvGraphicFramePr/>
      </xdr:nvGraphicFramePr>
      <xdr:xfrm>
        <a:off x="191160" y="11563200"/>
        <a:ext cx="4223880" cy="247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6" min="2" style="0" width="22.71"/>
    <col collapsed="false" customWidth="true" hidden="false" outlineLevel="0" max="7" min="7" style="0" width="3.71"/>
  </cols>
  <sheetData>
    <row r="2" customFormat="false" ht="45" hidden="false" customHeight="true" outlineLevel="0" collapsed="false">
      <c r="B2" s="1" t="s">
        <v>0</v>
      </c>
      <c r="C2" s="1"/>
      <c r="D2" s="1"/>
      <c r="E2" s="1"/>
      <c r="F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</row>
    <row r="7" customFormat="false" ht="30" hidden="false" customHeight="true" outlineLevel="0" collapsed="false">
      <c r="B7" s="3" t="s">
        <v>2</v>
      </c>
      <c r="C7" s="3"/>
      <c r="D7" s="3"/>
      <c r="E7" s="3"/>
      <c r="F7" s="3"/>
    </row>
    <row r="8" customFormat="false" ht="24.75" hidden="false" customHeight="true" outlineLevel="0" collapsed="false">
      <c r="B8" s="4" t="s">
        <v>3</v>
      </c>
      <c r="C8" s="4" t="s">
        <v>4</v>
      </c>
      <c r="D8" s="4" t="s">
        <v>5</v>
      </c>
      <c r="E8" s="4" t="s">
        <v>6</v>
      </c>
    </row>
    <row r="9" customFormat="false" ht="21.75" hidden="false" customHeight="true" outlineLevel="0" collapsed="false">
      <c r="B9" s="5" t="s">
        <v>7</v>
      </c>
      <c r="C9" s="6" t="s">
        <v>8</v>
      </c>
      <c r="D9" s="6" t="s">
        <v>9</v>
      </c>
      <c r="E9" s="6" t="s">
        <v>10</v>
      </c>
    </row>
    <row r="10" customFormat="false" ht="21.75" hidden="false" customHeight="true" outlineLevel="0" collapsed="false">
      <c r="B10" s="7" t="s">
        <v>11</v>
      </c>
      <c r="C10" s="8" t="s">
        <v>12</v>
      </c>
      <c r="D10" s="8" t="s">
        <v>9</v>
      </c>
      <c r="E10" s="8" t="s">
        <v>13</v>
      </c>
    </row>
    <row r="11" customFormat="false" ht="21.75" hidden="false" customHeight="true" outlineLevel="0" collapsed="false">
      <c r="B11" s="5" t="s">
        <v>14</v>
      </c>
      <c r="C11" s="6" t="s">
        <v>15</v>
      </c>
      <c r="D11" s="6" t="s">
        <v>16</v>
      </c>
      <c r="E11" s="9" t="s">
        <v>17</v>
      </c>
    </row>
    <row r="12" customFormat="false" ht="21.75" hidden="false" customHeight="true" outlineLevel="0" collapsed="false">
      <c r="B12" s="7" t="s">
        <v>18</v>
      </c>
      <c r="C12" s="8" t="s">
        <v>19</v>
      </c>
      <c r="D12" s="8" t="s">
        <v>20</v>
      </c>
      <c r="E12" s="8" t="s">
        <v>21</v>
      </c>
    </row>
    <row r="13" customFormat="false" ht="21.75" hidden="false" customHeight="true" outlineLevel="0" collapsed="false">
      <c r="B13" s="5" t="s">
        <v>22</v>
      </c>
      <c r="C13" s="6" t="s">
        <v>23</v>
      </c>
      <c r="D13" s="6" t="s">
        <v>24</v>
      </c>
      <c r="E13" s="6" t="s">
        <v>25</v>
      </c>
    </row>
    <row r="14" customFormat="false" ht="21.75" hidden="false" customHeight="true" outlineLevel="0" collapsed="false">
      <c r="B14" s="7" t="s">
        <v>26</v>
      </c>
      <c r="C14" s="8" t="s">
        <v>27</v>
      </c>
      <c r="D14" s="8" t="s">
        <v>24</v>
      </c>
      <c r="E14" s="8" t="s">
        <v>28</v>
      </c>
    </row>
    <row r="15" customFormat="false" ht="21.75" hidden="false" customHeight="true" outlineLevel="0" collapsed="false">
      <c r="B15" s="5" t="s">
        <v>29</v>
      </c>
      <c r="C15" s="6" t="s">
        <v>30</v>
      </c>
      <c r="D15" s="6" t="s">
        <v>24</v>
      </c>
      <c r="E15" s="6" t="s">
        <v>31</v>
      </c>
    </row>
    <row r="17" customFormat="false" ht="30" hidden="false" customHeight="true" outlineLevel="0" collapsed="false">
      <c r="B17" s="3" t="s">
        <v>32</v>
      </c>
      <c r="C17" s="3"/>
      <c r="D17" s="3"/>
      <c r="E17" s="3"/>
      <c r="F17" s="3"/>
    </row>
    <row r="19" customFormat="false" ht="15" hidden="false" customHeight="true" outlineLevel="0" collapsed="false">
      <c r="B19" s="10" t="s">
        <v>33</v>
      </c>
      <c r="C19" s="11" t="s">
        <v>34</v>
      </c>
      <c r="D19" s="11"/>
    </row>
    <row r="20" customFormat="false" ht="15" hidden="false" customHeight="true" outlineLevel="0" collapsed="false">
      <c r="B20" s="12" t="s">
        <v>35</v>
      </c>
      <c r="C20" s="13" t="s">
        <v>36</v>
      </c>
      <c r="D20" s="13"/>
    </row>
    <row r="21" customFormat="false" ht="15" hidden="false" customHeight="true" outlineLevel="0" collapsed="false">
      <c r="B21" s="10" t="s">
        <v>37</v>
      </c>
      <c r="C21" s="11" t="s">
        <v>38</v>
      </c>
      <c r="D21" s="11"/>
    </row>
    <row r="22" customFormat="false" ht="15" hidden="false" customHeight="true" outlineLevel="0" collapsed="false">
      <c r="B22" s="12" t="s">
        <v>39</v>
      </c>
      <c r="C22" s="13" t="s">
        <v>40</v>
      </c>
      <c r="D22" s="13"/>
    </row>
    <row r="23" customFormat="false" ht="15" hidden="false" customHeight="true" outlineLevel="0" collapsed="false">
      <c r="B23" s="10" t="s">
        <v>41</v>
      </c>
      <c r="C23" s="11" t="s">
        <v>42</v>
      </c>
      <c r="D23" s="11"/>
    </row>
    <row r="24" customFormat="false" ht="15" hidden="false" customHeight="true" outlineLevel="0" collapsed="false">
      <c r="B24" s="12" t="s">
        <v>43</v>
      </c>
      <c r="C24" s="13" t="s">
        <v>44</v>
      </c>
      <c r="D24" s="13"/>
    </row>
    <row r="25" customFormat="false" ht="15" hidden="false" customHeight="true" outlineLevel="0" collapsed="false">
      <c r="B25" s="10" t="s">
        <v>45</v>
      </c>
      <c r="C25" s="11" t="s">
        <v>46</v>
      </c>
      <c r="D25" s="11"/>
    </row>
    <row r="26" customFormat="false" ht="24.75" hidden="false" customHeight="true" outlineLevel="0" collapsed="false">
      <c r="B26" s="14" t="s">
        <v>47</v>
      </c>
      <c r="C26" s="14"/>
      <c r="D26" s="14"/>
      <c r="E26" s="14"/>
      <c r="F26" s="14"/>
    </row>
  </sheetData>
  <mergeCells count="12">
    <mergeCell ref="B2:F2"/>
    <mergeCell ref="B3:F3"/>
    <mergeCell ref="B7:F7"/>
    <mergeCell ref="B17:F17"/>
    <mergeCell ref="C19:D19"/>
    <mergeCell ref="C20:D20"/>
    <mergeCell ref="C21:D21"/>
    <mergeCell ref="C22:D22"/>
    <mergeCell ref="C23:D23"/>
    <mergeCell ref="C24:D24"/>
    <mergeCell ref="C25:D25"/>
    <mergeCell ref="B26:F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8" min="2" style="0" width="14.71"/>
    <col collapsed="false" customWidth="true" hidden="false" outlineLevel="0" max="9" min="9" style="0" width="3.71"/>
    <col collapsed="false" customWidth="true" hidden="false" outlineLevel="0" max="14" min="10" style="0" width="14.71"/>
    <col collapsed="false" customWidth="true" hidden="false" outlineLevel="0" max="15" min="15" style="0" width="2.71"/>
    <col collapsed="false" customWidth="false" hidden="true" outlineLevel="0" max="17" min="17" style="0" width="8.71"/>
    <col collapsed="false" customWidth="true" hidden="true" outlineLevel="0" max="18" min="18" style="0" width="30.71"/>
    <col collapsed="false" customWidth="true" hidden="true" outlineLevel="0" max="19" min="19" style="0" width="12.71"/>
  </cols>
  <sheetData>
    <row r="2" customFormat="false" ht="39.75" hidden="false" customHeight="true" outlineLevel="0" collapsed="false">
      <c r="B2" s="1" t="s">
        <v>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8" hidden="false" customHeight="true" outlineLevel="0" collapsed="false">
      <c r="B3" s="2" t="s">
        <v>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1.75" hidden="false" customHeight="true" outlineLevel="0" collapsed="false">
      <c r="B5" s="15" t="s">
        <v>50</v>
      </c>
      <c r="C5" s="15"/>
      <c r="D5" s="16" t="s">
        <v>51</v>
      </c>
      <c r="E5" s="16"/>
      <c r="F5" s="17" t="s">
        <v>52</v>
      </c>
      <c r="G5" s="17"/>
      <c r="H5" s="18" t="s">
        <v>53</v>
      </c>
      <c r="I5" s="18"/>
      <c r="J5" s="19" t="s">
        <v>54</v>
      </c>
      <c r="K5" s="19"/>
    </row>
    <row r="6" customFormat="false" ht="27.75" hidden="false" customHeight="true" outlineLevel="0" collapsed="false">
      <c r="B6" s="20" t="s">
        <v>55</v>
      </c>
      <c r="C6" s="20"/>
      <c r="D6" s="21" t="s">
        <v>56</v>
      </c>
      <c r="E6" s="21"/>
      <c r="F6" s="22" t="s">
        <v>57</v>
      </c>
      <c r="G6" s="22"/>
      <c r="H6" s="23" t="s">
        <v>58</v>
      </c>
      <c r="I6" s="23"/>
      <c r="J6" s="24" t="s">
        <v>59</v>
      </c>
      <c r="K6" s="24"/>
    </row>
    <row r="7" customFormat="false" ht="27.75" hidden="false" customHeight="true" outlineLevel="0" collapsed="false">
      <c r="B7" s="20"/>
      <c r="C7" s="20"/>
      <c r="D7" s="21"/>
      <c r="E7" s="21"/>
      <c r="F7" s="22"/>
      <c r="G7" s="22"/>
      <c r="H7" s="23"/>
      <c r="I7" s="23"/>
      <c r="J7" s="24"/>
      <c r="K7" s="24"/>
    </row>
    <row r="8" customFormat="false" ht="21.75" hidden="false" customHeight="true" outlineLevel="0" collapsed="false">
      <c r="B8" s="25" t="s">
        <v>60</v>
      </c>
      <c r="C8" s="25"/>
      <c r="D8" s="26" t="s">
        <v>61</v>
      </c>
      <c r="E8" s="26"/>
      <c r="F8" s="27" t="s">
        <v>62</v>
      </c>
      <c r="G8" s="27"/>
      <c r="H8" s="28" t="s">
        <v>63</v>
      </c>
      <c r="I8" s="28"/>
      <c r="J8" s="29" t="s">
        <v>64</v>
      </c>
      <c r="K8" s="29"/>
    </row>
    <row r="10" customFormat="false" ht="27.75" hidden="false" customHeight="true" outlineLevel="0" collapsed="false">
      <c r="B10" s="3" t="s">
        <v>65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B11" s="30" t="s">
        <v>66</v>
      </c>
      <c r="C11" s="30" t="s">
        <v>67</v>
      </c>
      <c r="D11" s="31" t="s">
        <v>68</v>
      </c>
      <c r="E11" s="31"/>
      <c r="F11" s="31"/>
      <c r="G11" s="30" t="s">
        <v>69</v>
      </c>
      <c r="H11" s="31"/>
      <c r="I11" s="31"/>
      <c r="J11" s="31"/>
      <c r="K11" s="31" t="s">
        <v>70</v>
      </c>
      <c r="L11" s="31"/>
      <c r="M11" s="31"/>
      <c r="N11" s="31"/>
    </row>
    <row r="12" customFormat="false" ht="27.75" hidden="false" customHeight="true" outlineLevel="0" collapsed="false">
      <c r="B12" s="32" t="n">
        <v>1</v>
      </c>
      <c r="C12" s="33" t="s">
        <v>71</v>
      </c>
      <c r="D12" s="34" t="n">
        <v>20</v>
      </c>
      <c r="E12" s="34"/>
      <c r="F12" s="34"/>
      <c r="G12" s="34" t="str">
        <f aca="false">S42</f>
        <v>Прогресс</v>
      </c>
      <c r="H12" s="34"/>
      <c r="I12" s="34"/>
      <c r="J12" s="34"/>
      <c r="K12" s="34" t="str">
        <f aca="false">S42</f>
        <v>Прогресс</v>
      </c>
      <c r="L12" s="34"/>
      <c r="M12" s="34"/>
      <c r="N12" s="34"/>
      <c r="Q12" s="35" t="n">
        <v>20</v>
      </c>
    </row>
    <row r="13" customFormat="false" ht="27.75" hidden="false" customHeight="true" outlineLevel="0" collapsed="false">
      <c r="B13" s="36" t="n">
        <v>2</v>
      </c>
      <c r="C13" s="33" t="s">
        <v>72</v>
      </c>
      <c r="D13" s="34" t="n">
        <v>0</v>
      </c>
      <c r="E13" s="34"/>
      <c r="F13" s="34"/>
      <c r="G13" s="34" t="n">
        <f aca="false">S43</f>
        <v>20</v>
      </c>
      <c r="H13" s="34"/>
      <c r="I13" s="34"/>
      <c r="J13" s="34"/>
      <c r="K13" s="34" t="n">
        <f aca="false">S43</f>
        <v>20</v>
      </c>
      <c r="L13" s="34"/>
      <c r="M13" s="34"/>
      <c r="N13" s="34"/>
      <c r="Q13" s="35" t="n">
        <v>0</v>
      </c>
    </row>
    <row r="14" customFormat="false" ht="27.75" hidden="false" customHeight="true" outlineLevel="0" collapsed="false">
      <c r="B14" s="37" t="n">
        <v>3</v>
      </c>
      <c r="C14" s="33" t="s">
        <v>73</v>
      </c>
      <c r="D14" s="34" t="n">
        <v>5</v>
      </c>
      <c r="E14" s="34"/>
      <c r="F14" s="34"/>
      <c r="G14" s="34" t="n">
        <f aca="false">S44</f>
        <v>0</v>
      </c>
      <c r="H14" s="34"/>
      <c r="I14" s="34"/>
      <c r="J14" s="34"/>
      <c r="K14" s="34" t="n">
        <f aca="false">S44</f>
        <v>0</v>
      </c>
      <c r="L14" s="34"/>
      <c r="M14" s="34"/>
      <c r="N14" s="34"/>
      <c r="Q14" s="35" t="n">
        <v>5</v>
      </c>
    </row>
    <row r="15" customFormat="false" ht="27.75" hidden="false" customHeight="true" outlineLevel="0" collapsed="false">
      <c r="B15" s="9" t="n">
        <v>4</v>
      </c>
      <c r="C15" s="33" t="s">
        <v>74</v>
      </c>
      <c r="D15" s="34" t="n">
        <v>0</v>
      </c>
      <c r="E15" s="34"/>
      <c r="F15" s="34"/>
      <c r="G15" s="34" t="n">
        <f aca="false">S45</f>
        <v>5</v>
      </c>
      <c r="H15" s="34"/>
      <c r="I15" s="34"/>
      <c r="J15" s="34"/>
      <c r="K15" s="34" t="n">
        <f aca="false">S45</f>
        <v>5</v>
      </c>
      <c r="L15" s="34"/>
      <c r="M15" s="34"/>
      <c r="N15" s="34"/>
      <c r="Q15" s="35" t="n">
        <v>0</v>
      </c>
    </row>
    <row r="16" customFormat="false" ht="27.75" hidden="false" customHeight="true" outlineLevel="0" collapsed="false">
      <c r="B16" s="38" t="n">
        <v>5</v>
      </c>
      <c r="C16" s="33" t="s">
        <v>75</v>
      </c>
      <c r="D16" s="34" t="n">
        <v>35</v>
      </c>
      <c r="E16" s="34"/>
      <c r="F16" s="34"/>
      <c r="G16" s="34" t="n">
        <f aca="false">S46</f>
        <v>0</v>
      </c>
      <c r="H16" s="34"/>
      <c r="I16" s="34"/>
      <c r="J16" s="34"/>
      <c r="K16" s="34" t="n">
        <f aca="false">S46</f>
        <v>0</v>
      </c>
      <c r="L16" s="34"/>
      <c r="M16" s="34"/>
      <c r="N16" s="34"/>
      <c r="Q16" s="35" t="n">
        <v>35</v>
      </c>
    </row>
    <row r="17" customFormat="false" ht="27.75" hidden="false" customHeight="true" outlineLevel="0" collapsed="false">
      <c r="B17" s="39" t="n">
        <v>6</v>
      </c>
      <c r="C17" s="33" t="s">
        <v>76</v>
      </c>
      <c r="D17" s="34" t="n">
        <v>0</v>
      </c>
      <c r="E17" s="34"/>
      <c r="F17" s="34"/>
      <c r="G17" s="34" t="n">
        <f aca="false">S47</f>
        <v>35</v>
      </c>
      <c r="H17" s="34"/>
      <c r="I17" s="34"/>
      <c r="J17" s="34"/>
      <c r="K17" s="34" t="n">
        <f aca="false">S47</f>
        <v>35</v>
      </c>
      <c r="L17" s="34"/>
      <c r="M17" s="34"/>
      <c r="N17" s="34"/>
      <c r="Q17" s="35" t="n">
        <v>0</v>
      </c>
    </row>
    <row r="19" customFormat="false" ht="27.75" hidden="false" customHeight="true" outlineLevel="0" collapsed="false">
      <c r="B19" s="3" t="s">
        <v>77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31.5" hidden="false" customHeight="true" outlineLevel="0" collapsed="false">
      <c r="B20" s="40" t="s">
        <v>78</v>
      </c>
      <c r="C20" s="40"/>
      <c r="D20" s="41" t="n">
        <f aca="false">AVERAGE(S42:S47)</f>
        <v>12</v>
      </c>
      <c r="E20" s="41"/>
      <c r="F20" s="41" t="n">
        <f aca="false">AVERAGE(S42:S47)</f>
        <v>12</v>
      </c>
      <c r="G20" s="41"/>
      <c r="H20" s="41"/>
      <c r="I20" s="41"/>
      <c r="J20" s="41"/>
    </row>
    <row r="22" customFormat="false" ht="27.75" hidden="false" customHeight="true" outlineLevel="0" collapsed="false">
      <c r="B22" s="3" t="s">
        <v>79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4" customFormat="false" ht="25.5" hidden="false" customHeight="true" outlineLevel="0" collapsed="false">
      <c r="B24" s="42" t="s">
        <v>80</v>
      </c>
      <c r="C24" s="42"/>
      <c r="D24" s="42"/>
      <c r="E24" s="43" t="s">
        <v>81</v>
      </c>
      <c r="F24" s="43"/>
      <c r="G24" s="44" t="n">
        <v>0</v>
      </c>
      <c r="H24" s="44"/>
      <c r="I24" s="44"/>
      <c r="J24" s="44"/>
    </row>
    <row r="25" customFormat="false" ht="25.5" hidden="false" customHeight="true" outlineLevel="0" collapsed="false">
      <c r="B25" s="42" t="s">
        <v>82</v>
      </c>
      <c r="C25" s="42"/>
      <c r="D25" s="42"/>
      <c r="E25" s="43" t="s">
        <v>83</v>
      </c>
      <c r="F25" s="43"/>
      <c r="G25" s="44" t="n">
        <v>0</v>
      </c>
      <c r="H25" s="44"/>
      <c r="I25" s="44"/>
      <c r="J25" s="44"/>
    </row>
    <row r="26" customFormat="false" ht="25.5" hidden="false" customHeight="true" outlineLevel="0" collapsed="false">
      <c r="B26" s="42" t="s">
        <v>29</v>
      </c>
      <c r="C26" s="42"/>
      <c r="D26" s="42"/>
      <c r="E26" s="43" t="s">
        <v>84</v>
      </c>
      <c r="F26" s="43"/>
      <c r="G26" s="44" t="n">
        <v>0</v>
      </c>
      <c r="H26" s="44"/>
      <c r="I26" s="44"/>
      <c r="J26" s="44"/>
    </row>
    <row r="27" customFormat="false" ht="25.5" hidden="false" customHeight="true" outlineLevel="0" collapsed="false">
      <c r="B27" s="42" t="s">
        <v>85</v>
      </c>
      <c r="C27" s="42"/>
      <c r="D27" s="42"/>
      <c r="E27" s="43" t="s">
        <v>86</v>
      </c>
      <c r="F27" s="43"/>
      <c r="G27" s="44" t="n">
        <v>0</v>
      </c>
      <c r="H27" s="44"/>
      <c r="I27" s="44"/>
      <c r="J27" s="44"/>
    </row>
    <row r="28" customFormat="false" ht="25.5" hidden="false" customHeight="true" outlineLevel="0" collapsed="false">
      <c r="B28" s="42" t="s">
        <v>87</v>
      </c>
      <c r="C28" s="42"/>
      <c r="D28" s="42"/>
      <c r="E28" s="43" t="s">
        <v>88</v>
      </c>
      <c r="F28" s="43"/>
      <c r="G28" s="44" t="n">
        <v>5</v>
      </c>
      <c r="H28" s="44"/>
      <c r="I28" s="44"/>
      <c r="J28" s="44"/>
    </row>
    <row r="42" customFormat="false" ht="15" hidden="false" customHeight="false" outlineLevel="0" collapsed="false">
      <c r="Q42" s="45" t="s">
        <v>66</v>
      </c>
      <c r="R42" s="45" t="s">
        <v>4</v>
      </c>
      <c r="S42" s="45" t="s">
        <v>89</v>
      </c>
      <c r="U42" s="45" t="s">
        <v>90</v>
      </c>
      <c r="V42" s="45" t="s">
        <v>91</v>
      </c>
      <c r="X42" s="45" t="s">
        <v>4</v>
      </c>
      <c r="Y42" s="45" t="s">
        <v>89</v>
      </c>
      <c r="AA42" s="45" t="s">
        <v>92</v>
      </c>
      <c r="AB42" s="45" t="s">
        <v>93</v>
      </c>
    </row>
    <row r="43" customFormat="false" ht="15" hidden="false" customHeight="false" outlineLevel="0" collapsed="false">
      <c r="Q43" s="45" t="n">
        <v>1</v>
      </c>
      <c r="R43" s="45" t="s">
        <v>71</v>
      </c>
      <c r="S43" s="45" t="n">
        <v>20</v>
      </c>
      <c r="U43" s="45" t="s">
        <v>94</v>
      </c>
      <c r="V43" s="45" t="n">
        <v>3</v>
      </c>
      <c r="X43" s="45" t="s">
        <v>71</v>
      </c>
      <c r="Y43" s="45" t="n">
        <v>20</v>
      </c>
      <c r="AA43" s="45" t="s">
        <v>95</v>
      </c>
      <c r="AB43" s="45" t="n">
        <v>0</v>
      </c>
    </row>
    <row r="44" customFormat="false" ht="15" hidden="false" customHeight="false" outlineLevel="0" collapsed="false">
      <c r="Q44" s="45" t="n">
        <v>2</v>
      </c>
      <c r="R44" s="45" t="s">
        <v>72</v>
      </c>
      <c r="S44" s="45" t="n">
        <v>0</v>
      </c>
      <c r="U44" s="45" t="s">
        <v>96</v>
      </c>
      <c r="V44" s="45" t="n">
        <v>3</v>
      </c>
      <c r="X44" s="45" t="s">
        <v>72</v>
      </c>
      <c r="Y44" s="45" t="n">
        <v>0</v>
      </c>
      <c r="AA44" s="45" t="s">
        <v>97</v>
      </c>
      <c r="AB44" s="45" t="n">
        <v>0</v>
      </c>
    </row>
    <row r="45" customFormat="false" ht="15" hidden="false" customHeight="false" outlineLevel="0" collapsed="false">
      <c r="Q45" s="45" t="n">
        <v>3</v>
      </c>
      <c r="R45" s="45" t="s">
        <v>73</v>
      </c>
      <c r="S45" s="45" t="n">
        <v>5</v>
      </c>
      <c r="U45" s="45" t="s">
        <v>98</v>
      </c>
      <c r="V45" s="45" t="n">
        <v>1</v>
      </c>
      <c r="X45" s="45" t="s">
        <v>73</v>
      </c>
      <c r="Y45" s="45" t="n">
        <v>5</v>
      </c>
      <c r="AA45" s="45" t="s">
        <v>99</v>
      </c>
      <c r="AB45" s="45" t="n">
        <v>200</v>
      </c>
    </row>
    <row r="46" customFormat="false" ht="15" hidden="false" customHeight="false" outlineLevel="0" collapsed="false">
      <c r="Q46" s="45" t="n">
        <v>4</v>
      </c>
      <c r="R46" s="45" t="s">
        <v>74</v>
      </c>
      <c r="S46" s="45" t="n">
        <v>0</v>
      </c>
      <c r="U46" s="45" t="s">
        <v>100</v>
      </c>
      <c r="V46" s="45" t="n">
        <v>3</v>
      </c>
      <c r="X46" s="45" t="s">
        <v>74</v>
      </c>
      <c r="Y46" s="45" t="n">
        <v>0</v>
      </c>
      <c r="AA46" s="45" t="s">
        <v>101</v>
      </c>
      <c r="AB46" s="45" t="n">
        <v>500</v>
      </c>
    </row>
    <row r="47" customFormat="false" ht="15" hidden="false" customHeight="false" outlineLevel="0" collapsed="false">
      <c r="Q47" s="45" t="n">
        <v>5</v>
      </c>
      <c r="R47" s="45" t="s">
        <v>75</v>
      </c>
      <c r="S47" s="45" t="n">
        <v>35</v>
      </c>
      <c r="U47" s="45" t="s">
        <v>102</v>
      </c>
      <c r="V47" s="45" t="n">
        <v>1</v>
      </c>
      <c r="X47" s="45" t="s">
        <v>75</v>
      </c>
      <c r="Y47" s="45" t="n">
        <v>35</v>
      </c>
      <c r="AA47" s="45" t="s">
        <v>103</v>
      </c>
      <c r="AB47" s="45" t="n">
        <v>1000</v>
      </c>
    </row>
    <row r="48" customFormat="false" ht="15" hidden="false" customHeight="false" outlineLevel="0" collapsed="false">
      <c r="Q48" s="45" t="n">
        <v>6</v>
      </c>
      <c r="R48" s="45" t="s">
        <v>76</v>
      </c>
      <c r="S48" s="45" t="n">
        <v>0</v>
      </c>
      <c r="U48" s="45" t="s">
        <v>104</v>
      </c>
      <c r="V48" s="45" t="n">
        <v>1</v>
      </c>
      <c r="X48" s="45" t="s">
        <v>76</v>
      </c>
      <c r="Y48" s="45" t="n">
        <v>0</v>
      </c>
      <c r="AA48" s="45" t="s">
        <v>105</v>
      </c>
      <c r="AB48" s="45" t="n">
        <v>2000</v>
      </c>
    </row>
    <row r="49" customFormat="false" ht="15" hidden="false" customHeight="false" outlineLevel="0" collapsed="false">
      <c r="AA49" s="45" t="s">
        <v>106</v>
      </c>
      <c r="AB49" s="45" t="n">
        <v>3500</v>
      </c>
    </row>
    <row r="50" customFormat="false" ht="15" hidden="false" customHeight="false" outlineLevel="0" collapsed="false">
      <c r="AA50" s="45" t="s">
        <v>107</v>
      </c>
      <c r="AB50" s="45" t="n">
        <v>5000</v>
      </c>
    </row>
    <row r="51" customFormat="false" ht="15" hidden="false" customHeight="false" outlineLevel="0" collapsed="false">
      <c r="AA51" s="45" t="s">
        <v>108</v>
      </c>
      <c r="AB51" s="45" t="n">
        <v>5000</v>
      </c>
    </row>
  </sheetData>
  <mergeCells count="59">
    <mergeCell ref="B2:N2"/>
    <mergeCell ref="B3:N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  <mergeCell ref="B8:C8"/>
    <mergeCell ref="D8:E8"/>
    <mergeCell ref="F8:G8"/>
    <mergeCell ref="H8:I8"/>
    <mergeCell ref="J8:K8"/>
    <mergeCell ref="B10:N10"/>
    <mergeCell ref="D11:F11"/>
    <mergeCell ref="H11:J11"/>
    <mergeCell ref="K11:N11"/>
    <mergeCell ref="D12:F12"/>
    <mergeCell ref="G12:J12"/>
    <mergeCell ref="K12:N12"/>
    <mergeCell ref="D13:F13"/>
    <mergeCell ref="G13:J13"/>
    <mergeCell ref="K13:N13"/>
    <mergeCell ref="D14:F14"/>
    <mergeCell ref="G14:J14"/>
    <mergeCell ref="K14:N14"/>
    <mergeCell ref="D15:F15"/>
    <mergeCell ref="G15:J15"/>
    <mergeCell ref="K15:N15"/>
    <mergeCell ref="D16:F16"/>
    <mergeCell ref="G16:J16"/>
    <mergeCell ref="K16:N16"/>
    <mergeCell ref="D17:F17"/>
    <mergeCell ref="G17:J17"/>
    <mergeCell ref="K17:N17"/>
    <mergeCell ref="B19:N19"/>
    <mergeCell ref="B20:C20"/>
    <mergeCell ref="D20:E20"/>
    <mergeCell ref="F20:J20"/>
    <mergeCell ref="B22:N22"/>
    <mergeCell ref="B24:D24"/>
    <mergeCell ref="E24:F24"/>
    <mergeCell ref="G24:J24"/>
    <mergeCell ref="B25:D25"/>
    <mergeCell ref="E25:F25"/>
    <mergeCell ref="G25:J25"/>
    <mergeCell ref="B26:D26"/>
    <mergeCell ref="E26:F26"/>
    <mergeCell ref="G26:J26"/>
    <mergeCell ref="B27:D27"/>
    <mergeCell ref="E27:F27"/>
    <mergeCell ref="G27:J27"/>
    <mergeCell ref="B28:D28"/>
    <mergeCell ref="E28:F28"/>
    <mergeCell ref="G28:J28"/>
  </mergeCells>
  <conditionalFormatting sqref="F20:J20">
    <cfRule type="dataBar" priority="2">
      <dataBar showValue="1" minLength="10" maxLength="90">
        <cfvo type="min" val="0"/>
        <cfvo type="max" val="100"/>
        <color rgb="FF0066CC"/>
      </dataBar>
      <extLst>
        <ext xmlns:x14="http://schemas.microsoft.com/office/spreadsheetml/2009/9/main" uri="{B025F937-C7B1-47D3-B67F-A62EFF666E3E}">
          <x14:id>{A25878C6-2464-45C1-9A28-F018B0EB75CF}</x14:id>
        </ext>
      </extLst>
    </cfRule>
  </conditionalFormatting>
  <conditionalFormatting sqref="G12:G17">
    <cfRule type="dataBar" priority="3">
      <dataBar showValue="1" minLength="10" maxLength="90">
        <cfvo type="min" val="0"/>
        <cfvo type="max" val="100"/>
        <color rgb="FF4A90D9"/>
      </dataBar>
      <extLst>
        <ext xmlns:x14="http://schemas.microsoft.com/office/spreadsheetml/2009/9/main" uri="{B025F937-C7B1-47D3-B67F-A62EFF666E3E}">
          <x14:id>{C287CC66-508E-4DFC-A1EA-EE6082CF44C8}</x14:id>
        </ext>
      </extLst>
    </cfRule>
  </conditionalFormatting>
  <conditionalFormatting sqref="G24:J24">
    <cfRule type="dataBar" priority="4">
      <dataBar showValue="1" minLength="10" maxLength="90">
        <cfvo type="min" val="0"/>
        <cfvo type="max" val="100"/>
        <color rgb="FF0066CC"/>
      </dataBar>
      <extLst>
        <ext xmlns:x14="http://schemas.microsoft.com/office/spreadsheetml/2009/9/main" uri="{B025F937-C7B1-47D3-B67F-A62EFF666E3E}">
          <x14:id>{BB63363F-D83E-42B5-8420-3611D0E9A7E4}</x14:id>
        </ext>
      </extLst>
    </cfRule>
  </conditionalFormatting>
  <conditionalFormatting sqref="G25:J25">
    <cfRule type="dataBar" priority="5">
      <dataBar showValue="1" minLength="10" maxLength="90">
        <cfvo type="min" val="0"/>
        <cfvo type="max" val="100"/>
        <color rgb="FF27AE60"/>
      </dataBar>
      <extLst>
        <ext xmlns:x14="http://schemas.microsoft.com/office/spreadsheetml/2009/9/main" uri="{B025F937-C7B1-47D3-B67F-A62EFF666E3E}">
          <x14:id>{1B82EF49-8E9E-47FC-9D17-DABFEAD2327C}</x14:id>
        </ext>
      </extLst>
    </cfRule>
  </conditionalFormatting>
  <conditionalFormatting sqref="G26:J26">
    <cfRule type="dataBar" priority="6">
      <dataBar showValue="1" minLength="10" maxLength="90">
        <cfvo type="min" val="0"/>
        <cfvo type="max" val="100"/>
        <color rgb="FFE67E22"/>
      </dataBar>
      <extLst>
        <ext xmlns:x14="http://schemas.microsoft.com/office/spreadsheetml/2009/9/main" uri="{B025F937-C7B1-47D3-B67F-A62EFF666E3E}">
          <x14:id>{EE30602F-745D-4ED3-B516-8DB0967F2437}</x14:id>
        </ext>
      </extLst>
    </cfRule>
  </conditionalFormatting>
  <conditionalFormatting sqref="G27:J27">
    <cfRule type="dataBar" priority="7">
      <dataBar showValue="1" minLength="10" maxLength="90">
        <cfvo type="min" val="0"/>
        <cfvo type="max" val="100"/>
        <color rgb="FF4A90D9"/>
      </dataBar>
      <extLst>
        <ext xmlns:x14="http://schemas.microsoft.com/office/spreadsheetml/2009/9/main" uri="{B025F937-C7B1-47D3-B67F-A62EFF666E3E}">
          <x14:id>{C41C49E6-104C-4BD0-8D2D-F990CD22D192}</x14:id>
        </ext>
      </extLst>
    </cfRule>
  </conditionalFormatting>
  <conditionalFormatting sqref="G28:J28">
    <cfRule type="dataBar" priority="8">
      <dataBar showValue="1" minLength="10" maxLength="90">
        <cfvo type="min" val="0"/>
        <cfvo type="max" val="100"/>
        <color rgb="FF9B59B6"/>
      </dataBar>
      <extLst>
        <ext xmlns:x14="http://schemas.microsoft.com/office/spreadsheetml/2009/9/main" uri="{B025F937-C7B1-47D3-B67F-A62EFF666E3E}">
          <x14:id>{99D8B2F4-561F-42CC-94AE-104C85CD3351}</x14:id>
        </ext>
      </extLst>
    </cfRule>
  </conditionalFormatting>
  <conditionalFormatting sqref="K12:N17">
    <cfRule type="dataBar" priority="9">
      <dataBar showValue="0" minLength="10" maxLength="90">
        <cfvo type="min" val="0"/>
        <cfvo type="max" val="100"/>
        <color rgb="FF0066CC"/>
      </dataBar>
      <extLst>
        <ext xmlns:x14="http://schemas.microsoft.com/office/spreadsheetml/2009/9/main" uri="{B025F937-C7B1-47D3-B67F-A62EFF666E3E}">
          <x14:id>{86B6A479-288B-4524-8446-E7F8E0A5CC18}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878C6-2464-45C1-9A28-F018B0EB75CF}">
            <x14:dataBar minLength="10" maxLength="90" axisPosition="none" gradient="true">
              <x14:cfvo type="min"/>
              <x14:cfvo type="max"/>
              <x14:negativeFillColor rgb="FF0066CC"/>
              <x14:axisColor rgb="FF000000"/>
            </x14:dataBar>
          </x14:cfRule>
          <xm:sqref>F20:J20</xm:sqref>
        </x14:conditionalFormatting>
        <x14:conditionalFormatting xmlns:xm="http://schemas.microsoft.com/office/excel/2006/main">
          <x14:cfRule type="dataBar" id="{C287CC66-508E-4DFC-A1EA-EE6082CF44C8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G12:G17</xm:sqref>
        </x14:conditionalFormatting>
        <x14:conditionalFormatting xmlns:xm="http://schemas.microsoft.com/office/excel/2006/main">
          <x14:cfRule type="dataBar" id="{BB63363F-D83E-42B5-8420-3611D0E9A7E4}">
            <x14:dataBar minLength="10" maxLength="90" axisPosition="none" gradient="true">
              <x14:cfvo type="min"/>
              <x14:cfvo type="max"/>
              <x14:negativeFillColor rgb="FF0066CC"/>
              <x14:axisColor rgb="FF000000"/>
            </x14:dataBar>
          </x14:cfRule>
          <xm:sqref>G24:J24</xm:sqref>
        </x14:conditionalFormatting>
        <x14:conditionalFormatting xmlns:xm="http://schemas.microsoft.com/office/excel/2006/main">
          <x14:cfRule type="dataBar" id="{1B82EF49-8E9E-47FC-9D17-DABFEAD2327C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G25:J25</xm:sqref>
        </x14:conditionalFormatting>
        <x14:conditionalFormatting xmlns:xm="http://schemas.microsoft.com/office/excel/2006/main">
          <x14:cfRule type="dataBar" id="{EE30602F-745D-4ED3-B516-8DB0967F2437}">
            <x14:dataBar minLength="10" maxLength="90" axisPosition="none" gradient="true">
              <x14:cfvo type="min"/>
              <x14:cfvo type="max"/>
              <x14:negativeFillColor rgb="FFE67E22"/>
              <x14:axisColor rgb="FF000000"/>
            </x14:dataBar>
          </x14:cfRule>
          <xm:sqref>G26:J26</xm:sqref>
        </x14:conditionalFormatting>
        <x14:conditionalFormatting xmlns:xm="http://schemas.microsoft.com/office/excel/2006/main">
          <x14:cfRule type="dataBar" id="{C41C49E6-104C-4BD0-8D2D-F990CD22D192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G27:J27</xm:sqref>
        </x14:conditionalFormatting>
        <x14:conditionalFormatting xmlns:xm="http://schemas.microsoft.com/office/excel/2006/main">
          <x14:cfRule type="dataBar" id="{99D8B2F4-561F-42CC-94AE-104C85CD3351}">
            <x14:dataBar minLength="10" maxLength="90" axisPosition="none" gradient="true">
              <x14:cfvo type="min"/>
              <x14:cfvo type="max"/>
              <x14:negativeFillColor rgb="FF9B59B6"/>
              <x14:axisColor rgb="FF000000"/>
            </x14:dataBar>
          </x14:cfRule>
          <xm:sqref>G28:J28</xm:sqref>
        </x14:conditionalFormatting>
        <x14:conditionalFormatting xmlns:xm="http://schemas.microsoft.com/office/excel/2006/main">
          <x14:cfRule type="dataBar" id="{86B6A479-288B-4524-8446-E7F8E0A5CC18}">
            <x14:dataBar minLength="10" maxLength="90" axisPosition="none" gradient="true">
              <x14:cfvo type="min"/>
              <x14:cfvo type="max"/>
              <x14:negativeFillColor rgb="FF0066CC"/>
              <x14:axisColor rgb="FF000000"/>
            </x14:dataBar>
          </x14:cfRule>
          <xm:sqref>K12:N17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6.71"/>
    <col collapsed="false" customWidth="true" hidden="false" outlineLevel="0" max="3" min="3" style="0" width="32.71"/>
    <col collapsed="false" customWidth="true" hidden="false" outlineLevel="0" max="4" min="4" style="0" width="16.71"/>
    <col collapsed="false" customWidth="true" hidden="false" outlineLevel="0" max="5" min="5" style="0" width="14.71"/>
    <col collapsed="false" customWidth="true" hidden="false" outlineLevel="0" max="6" min="6" style="0" width="12.71"/>
    <col collapsed="false" customWidth="true" hidden="false" outlineLevel="0" max="7" min="7" style="0" width="42.71"/>
  </cols>
  <sheetData>
    <row r="2" customFormat="false" ht="37.5" hidden="false" customHeight="true" outlineLevel="0" collapsed="false">
      <c r="B2" s="1" t="s">
        <v>109</v>
      </c>
      <c r="C2" s="1"/>
      <c r="D2" s="1"/>
      <c r="E2" s="1"/>
      <c r="F2" s="1"/>
      <c r="G2" s="1"/>
    </row>
    <row r="3" customFormat="false" ht="19.5" hidden="false" customHeight="true" outlineLevel="0" collapsed="false">
      <c r="B3" s="2" t="s">
        <v>110</v>
      </c>
      <c r="C3" s="2"/>
      <c r="D3" s="2"/>
      <c r="E3" s="2"/>
      <c r="F3" s="2"/>
      <c r="G3" s="2"/>
    </row>
    <row r="5" customFormat="false" ht="27.75" hidden="false" customHeight="true" outlineLevel="0" collapsed="false">
      <c r="B5" s="4" t="s">
        <v>66</v>
      </c>
      <c r="C5" s="4" t="s">
        <v>67</v>
      </c>
      <c r="D5" s="4" t="s">
        <v>5</v>
      </c>
      <c r="E5" s="4" t="s">
        <v>6</v>
      </c>
      <c r="F5" s="4" t="s">
        <v>68</v>
      </c>
      <c r="G5" s="4" t="s">
        <v>111</v>
      </c>
    </row>
    <row r="6" customFormat="false" ht="34.5" hidden="false" customHeight="true" outlineLevel="0" collapsed="false">
      <c r="B6" s="6" t="n">
        <v>1</v>
      </c>
      <c r="C6" s="5" t="s">
        <v>71</v>
      </c>
      <c r="D6" s="6" t="s">
        <v>20</v>
      </c>
      <c r="E6" s="6" t="s">
        <v>21</v>
      </c>
      <c r="F6" s="46" t="n">
        <f aca="false">IFERROR(AVERAGEIF(Подзадачи!$B$6:$B$100,B6,Подзадачи!$F$6:$F$100),0)</f>
        <v>23.3333333333333</v>
      </c>
      <c r="G6" s="5" t="s">
        <v>112</v>
      </c>
    </row>
    <row r="7" customFormat="false" ht="34.5" hidden="false" customHeight="true" outlineLevel="0" collapsed="false">
      <c r="B7" s="8" t="n">
        <v>2</v>
      </c>
      <c r="C7" s="7" t="s">
        <v>72</v>
      </c>
      <c r="D7" s="8" t="s">
        <v>9</v>
      </c>
      <c r="E7" s="8" t="s">
        <v>21</v>
      </c>
      <c r="F7" s="46" t="n">
        <f aca="false">IFERROR(AVERAGEIF(Подзадачи!$B$6:$B$100,B7,Подзадачи!$F$6:$F$100),0)</f>
        <v>0</v>
      </c>
      <c r="G7" s="7" t="s">
        <v>113</v>
      </c>
    </row>
    <row r="8" customFormat="false" ht="34.5" hidden="false" customHeight="true" outlineLevel="0" collapsed="false">
      <c r="B8" s="6" t="n">
        <v>3</v>
      </c>
      <c r="C8" s="5" t="s">
        <v>73</v>
      </c>
      <c r="D8" s="6" t="s">
        <v>9</v>
      </c>
      <c r="E8" s="6" t="s">
        <v>21</v>
      </c>
      <c r="F8" s="46" t="n">
        <f aca="false">IFERROR(AVERAGEIF(Подзадачи!$B$6:$B$100,B8,Подзадачи!$F$6:$F$100),0)</f>
        <v>5</v>
      </c>
      <c r="G8" s="5" t="s">
        <v>114</v>
      </c>
    </row>
    <row r="9" customFormat="false" ht="34.5" hidden="false" customHeight="true" outlineLevel="0" collapsed="false">
      <c r="B9" s="8" t="n">
        <v>4</v>
      </c>
      <c r="C9" s="7" t="s">
        <v>74</v>
      </c>
      <c r="D9" s="8" t="s">
        <v>9</v>
      </c>
      <c r="E9" s="8" t="s">
        <v>21</v>
      </c>
      <c r="F9" s="46" t="n">
        <f aca="false">IFERROR(AVERAGEIF(Подзадачи!$B$6:$B$100,B9,Подзадачи!$F$6:$F$100),0)</f>
        <v>0</v>
      </c>
      <c r="G9" s="7" t="s">
        <v>115</v>
      </c>
    </row>
    <row r="10" customFormat="false" ht="34.5" hidden="false" customHeight="true" outlineLevel="0" collapsed="false">
      <c r="B10" s="6" t="n">
        <v>5</v>
      </c>
      <c r="C10" s="5" t="s">
        <v>75</v>
      </c>
      <c r="D10" s="6" t="s">
        <v>116</v>
      </c>
      <c r="E10" s="9" t="s">
        <v>10</v>
      </c>
      <c r="F10" s="46" t="n">
        <f aca="false">IFERROR(AVERAGEIF(Подзадачи!$B$6:$B$100,B10,Подзадачи!$F$6:$F$100),0)</f>
        <v>17.5</v>
      </c>
      <c r="G10" s="5" t="s">
        <v>117</v>
      </c>
    </row>
    <row r="11" customFormat="false" ht="34.5" hidden="false" customHeight="true" outlineLevel="0" collapsed="false">
      <c r="B11" s="8" t="n">
        <v>6</v>
      </c>
      <c r="C11" s="7" t="s">
        <v>76</v>
      </c>
      <c r="D11" s="8" t="s">
        <v>9</v>
      </c>
      <c r="E11" s="8" t="s">
        <v>21</v>
      </c>
      <c r="F11" s="46" t="n">
        <f aca="false">IFERROR(AVERAGEIF(Подзадачи!$B$6:$B$100,B11,Подзадачи!$F$6:$F$100),0)</f>
        <v>0</v>
      </c>
      <c r="G11" s="7" t="s">
        <v>118</v>
      </c>
    </row>
    <row r="13" customFormat="false" ht="27.75" hidden="false" customHeight="true" outlineLevel="0" collapsed="false">
      <c r="B13" s="3" t="s">
        <v>119</v>
      </c>
      <c r="C13" s="3"/>
      <c r="D13" s="3"/>
      <c r="E13" s="3"/>
      <c r="F13" s="3"/>
      <c r="G13" s="3"/>
    </row>
    <row r="14" customFormat="false" ht="31.5" hidden="false" customHeight="true" outlineLevel="0" collapsed="false">
      <c r="B14" s="1" t="s">
        <v>120</v>
      </c>
      <c r="C14" s="1"/>
      <c r="D14" s="1"/>
      <c r="E14" s="1"/>
      <c r="F14" s="47" t="n">
        <f aca="false">AVERAGE(F6:F11)</f>
        <v>7.63888888888889</v>
      </c>
    </row>
  </sheetData>
  <mergeCells count="4">
    <mergeCell ref="B2:G2"/>
    <mergeCell ref="B3:G3"/>
    <mergeCell ref="B13:G13"/>
    <mergeCell ref="B14:E14"/>
  </mergeCells>
  <conditionalFormatting sqref="F6:F11">
    <cfRule type="dataBar" priority="2">
      <dataBar showValue="1" minLength="10" maxLength="90">
        <cfvo type="min" val="0"/>
        <cfvo type="max" val="100"/>
        <color rgb="FF4A90D9"/>
      </dataBar>
      <extLst>
        <ext xmlns:x14="http://schemas.microsoft.com/office/spreadsheetml/2009/9/main" uri="{B025F937-C7B1-47D3-B67F-A62EFF666E3E}">
          <x14:id>{CFA05736-E540-4CC3-B42F-71C183205C75}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A05736-E540-4CC3-B42F-71C183205C75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F6:F11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3" min="3" style="0" width="32.71"/>
    <col collapsed="false" customWidth="true" hidden="false" outlineLevel="0" max="5" min="4" style="0" width="14.71"/>
    <col collapsed="false" customWidth="true" hidden="false" outlineLevel="0" max="6" min="6" style="0" width="12.71"/>
    <col collapsed="false" customWidth="true" hidden="false" outlineLevel="0" max="7" min="7" style="0" width="14.71"/>
    <col collapsed="false" customWidth="true" hidden="false" outlineLevel="0" max="8" min="8" style="0" width="40.71"/>
  </cols>
  <sheetData>
    <row r="2" customFormat="false" ht="37.5" hidden="false" customHeight="true" outlineLevel="0" collapsed="false">
      <c r="B2" s="1" t="s">
        <v>121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122</v>
      </c>
      <c r="C3" s="2"/>
      <c r="D3" s="2"/>
      <c r="E3" s="2"/>
      <c r="F3" s="2"/>
      <c r="G3" s="2"/>
      <c r="H3" s="2"/>
    </row>
    <row r="5" customFormat="false" ht="27.75" hidden="false" customHeight="true" outlineLevel="0" collapsed="false">
      <c r="B5" s="4" t="s">
        <v>123</v>
      </c>
      <c r="C5" s="4" t="s">
        <v>124</v>
      </c>
      <c r="D5" s="4" t="s">
        <v>125</v>
      </c>
      <c r="E5" s="4" t="s">
        <v>5</v>
      </c>
      <c r="F5" s="4" t="s">
        <v>68</v>
      </c>
      <c r="G5" s="4" t="s">
        <v>6</v>
      </c>
      <c r="H5" s="4" t="s">
        <v>126</v>
      </c>
    </row>
    <row r="6" customFormat="false" ht="30" hidden="false" customHeight="true" outlineLevel="0" collapsed="false">
      <c r="B6" s="32" t="n">
        <v>1</v>
      </c>
      <c r="C6" s="5" t="s">
        <v>127</v>
      </c>
      <c r="D6" s="6" t="s">
        <v>94</v>
      </c>
      <c r="E6" s="6" t="s">
        <v>128</v>
      </c>
      <c r="F6" s="46" t="n">
        <v>100</v>
      </c>
      <c r="G6" s="48" t="s">
        <v>128</v>
      </c>
      <c r="H6" s="5" t="s">
        <v>129</v>
      </c>
    </row>
    <row r="7" customFormat="false" ht="30" hidden="false" customHeight="true" outlineLevel="0" collapsed="false">
      <c r="B7" s="32" t="n">
        <v>1</v>
      </c>
      <c r="C7" s="7" t="s">
        <v>130</v>
      </c>
      <c r="D7" s="8" t="s">
        <v>100</v>
      </c>
      <c r="E7" s="8" t="s">
        <v>116</v>
      </c>
      <c r="F7" s="46" t="n">
        <v>10</v>
      </c>
      <c r="G7" s="32" t="s">
        <v>10</v>
      </c>
      <c r="H7" s="7" t="s">
        <v>131</v>
      </c>
    </row>
    <row r="8" customFormat="false" ht="30" hidden="false" customHeight="true" outlineLevel="0" collapsed="false">
      <c r="B8" s="32" t="n">
        <v>1</v>
      </c>
      <c r="C8" s="5" t="s">
        <v>132</v>
      </c>
      <c r="D8" s="6" t="s">
        <v>100</v>
      </c>
      <c r="E8" s="6" t="s">
        <v>133</v>
      </c>
      <c r="F8" s="46" t="n">
        <v>25</v>
      </c>
      <c r="G8" s="32" t="s">
        <v>10</v>
      </c>
      <c r="H8" s="5" t="s">
        <v>134</v>
      </c>
    </row>
    <row r="9" customFormat="false" ht="30" hidden="false" customHeight="true" outlineLevel="0" collapsed="false">
      <c r="B9" s="32" t="n">
        <v>1</v>
      </c>
      <c r="C9" s="7" t="s">
        <v>135</v>
      </c>
      <c r="D9" s="8" t="s">
        <v>100</v>
      </c>
      <c r="E9" s="8" t="s">
        <v>136</v>
      </c>
      <c r="F9" s="49" t="n">
        <v>0</v>
      </c>
      <c r="G9" s="50" t="s">
        <v>137</v>
      </c>
      <c r="H9" s="7" t="s">
        <v>138</v>
      </c>
    </row>
    <row r="10" customFormat="false" ht="30" hidden="false" customHeight="true" outlineLevel="0" collapsed="false">
      <c r="B10" s="32" t="n">
        <v>1</v>
      </c>
      <c r="C10" s="5" t="s">
        <v>139</v>
      </c>
      <c r="D10" s="6" t="s">
        <v>100</v>
      </c>
      <c r="E10" s="6" t="s">
        <v>140</v>
      </c>
      <c r="F10" s="49" t="n">
        <v>0</v>
      </c>
      <c r="G10" s="50" t="s">
        <v>137</v>
      </c>
      <c r="H10" s="5" t="s">
        <v>141</v>
      </c>
    </row>
    <row r="11" customFormat="false" ht="30" hidden="false" customHeight="true" outlineLevel="0" collapsed="false">
      <c r="B11" s="32" t="n">
        <v>1</v>
      </c>
      <c r="C11" s="7" t="s">
        <v>142</v>
      </c>
      <c r="D11" s="8" t="s">
        <v>94</v>
      </c>
      <c r="E11" s="8" t="s">
        <v>20</v>
      </c>
      <c r="F11" s="46" t="n">
        <v>5</v>
      </c>
      <c r="G11" s="32" t="s">
        <v>10</v>
      </c>
      <c r="H11" s="7" t="s">
        <v>143</v>
      </c>
    </row>
    <row r="12" customFormat="false" ht="30" hidden="false" customHeight="true" outlineLevel="0" collapsed="false">
      <c r="B12" s="36" t="n">
        <v>2</v>
      </c>
      <c r="C12" s="5" t="s">
        <v>144</v>
      </c>
      <c r="D12" s="6" t="s">
        <v>96</v>
      </c>
      <c r="E12" s="6" t="s">
        <v>9</v>
      </c>
      <c r="F12" s="49" t="n">
        <v>0</v>
      </c>
      <c r="G12" s="32" t="s">
        <v>10</v>
      </c>
      <c r="H12" s="5" t="s">
        <v>145</v>
      </c>
    </row>
    <row r="13" customFormat="false" ht="30" hidden="false" customHeight="true" outlineLevel="0" collapsed="false">
      <c r="B13" s="36" t="n">
        <v>2</v>
      </c>
      <c r="C13" s="7" t="s">
        <v>146</v>
      </c>
      <c r="D13" s="8" t="s">
        <v>96</v>
      </c>
      <c r="E13" s="8" t="s">
        <v>9</v>
      </c>
      <c r="F13" s="49" t="n">
        <v>0</v>
      </c>
      <c r="G13" s="32" t="s">
        <v>10</v>
      </c>
      <c r="H13" s="7" t="s">
        <v>147</v>
      </c>
    </row>
    <row r="14" customFormat="false" ht="30" hidden="false" customHeight="true" outlineLevel="0" collapsed="false">
      <c r="B14" s="36" t="n">
        <v>2</v>
      </c>
      <c r="C14" s="5" t="s">
        <v>148</v>
      </c>
      <c r="D14" s="6" t="s">
        <v>96</v>
      </c>
      <c r="E14" s="6" t="s">
        <v>9</v>
      </c>
      <c r="F14" s="49" t="n">
        <v>0</v>
      </c>
      <c r="G14" s="50" t="s">
        <v>137</v>
      </c>
      <c r="H14" s="5" t="s">
        <v>149</v>
      </c>
    </row>
    <row r="15" customFormat="false" ht="30" hidden="false" customHeight="true" outlineLevel="0" collapsed="false">
      <c r="B15" s="37" t="n">
        <v>3</v>
      </c>
      <c r="C15" s="7" t="s">
        <v>150</v>
      </c>
      <c r="D15" s="8" t="s">
        <v>98</v>
      </c>
      <c r="E15" s="8" t="s">
        <v>16</v>
      </c>
      <c r="F15" s="46" t="n">
        <v>30</v>
      </c>
      <c r="G15" s="32" t="s">
        <v>10</v>
      </c>
      <c r="H15" s="7" t="s">
        <v>151</v>
      </c>
    </row>
    <row r="16" customFormat="false" ht="30" hidden="false" customHeight="true" outlineLevel="0" collapsed="false">
      <c r="B16" s="37" t="n">
        <v>3</v>
      </c>
      <c r="C16" s="5" t="s">
        <v>152</v>
      </c>
      <c r="D16" s="6" t="s">
        <v>102</v>
      </c>
      <c r="E16" s="6" t="s">
        <v>153</v>
      </c>
      <c r="F16" s="49" t="n">
        <v>0</v>
      </c>
      <c r="G16" s="50" t="s">
        <v>137</v>
      </c>
      <c r="H16" s="5" t="s">
        <v>154</v>
      </c>
    </row>
    <row r="17" customFormat="false" ht="30" hidden="false" customHeight="true" outlineLevel="0" collapsed="false">
      <c r="B17" s="37" t="n">
        <v>3</v>
      </c>
      <c r="C17" s="7" t="s">
        <v>155</v>
      </c>
      <c r="D17" s="8" t="s">
        <v>102</v>
      </c>
      <c r="E17" s="8" t="s">
        <v>133</v>
      </c>
      <c r="F17" s="49" t="n">
        <v>0</v>
      </c>
      <c r="G17" s="50" t="s">
        <v>137</v>
      </c>
      <c r="H17" s="7" t="s">
        <v>156</v>
      </c>
    </row>
    <row r="18" customFormat="false" ht="30" hidden="false" customHeight="true" outlineLevel="0" collapsed="false">
      <c r="B18" s="37" t="n">
        <v>3</v>
      </c>
      <c r="C18" s="5" t="s">
        <v>157</v>
      </c>
      <c r="D18" s="6" t="s">
        <v>102</v>
      </c>
      <c r="E18" s="6" t="s">
        <v>158</v>
      </c>
      <c r="F18" s="49" t="n">
        <v>0</v>
      </c>
      <c r="G18" s="50" t="s">
        <v>137</v>
      </c>
      <c r="H18" s="5" t="s">
        <v>159</v>
      </c>
    </row>
    <row r="19" customFormat="false" ht="30" hidden="false" customHeight="true" outlineLevel="0" collapsed="false">
      <c r="B19" s="37" t="n">
        <v>3</v>
      </c>
      <c r="C19" s="7" t="s">
        <v>160</v>
      </c>
      <c r="D19" s="8" t="s">
        <v>102</v>
      </c>
      <c r="E19" s="8" t="s">
        <v>161</v>
      </c>
      <c r="F19" s="49" t="n">
        <v>0</v>
      </c>
      <c r="G19" s="50" t="s">
        <v>137</v>
      </c>
      <c r="H19" s="7" t="s">
        <v>162</v>
      </c>
    </row>
    <row r="20" customFormat="false" ht="30" hidden="false" customHeight="true" outlineLevel="0" collapsed="false">
      <c r="B20" s="37" t="n">
        <v>3</v>
      </c>
      <c r="C20" s="5" t="s">
        <v>163</v>
      </c>
      <c r="D20" s="6" t="s">
        <v>102</v>
      </c>
      <c r="E20" s="6" t="s">
        <v>9</v>
      </c>
      <c r="F20" s="49" t="n">
        <v>0</v>
      </c>
      <c r="G20" s="50" t="s">
        <v>137</v>
      </c>
      <c r="H20" s="5" t="s">
        <v>164</v>
      </c>
    </row>
    <row r="21" customFormat="false" ht="30" hidden="false" customHeight="true" outlineLevel="0" collapsed="false">
      <c r="B21" s="9" t="n">
        <v>4</v>
      </c>
      <c r="C21" s="7" t="s">
        <v>165</v>
      </c>
      <c r="D21" s="8" t="s">
        <v>166</v>
      </c>
      <c r="E21" s="8" t="s">
        <v>167</v>
      </c>
      <c r="F21" s="49" t="n">
        <v>0</v>
      </c>
      <c r="G21" s="50" t="s">
        <v>137</v>
      </c>
      <c r="H21" s="7" t="s">
        <v>168</v>
      </c>
    </row>
    <row r="22" customFormat="false" ht="30" hidden="false" customHeight="true" outlineLevel="0" collapsed="false">
      <c r="B22" s="9" t="n">
        <v>4</v>
      </c>
      <c r="C22" s="5" t="s">
        <v>169</v>
      </c>
      <c r="D22" s="6" t="s">
        <v>166</v>
      </c>
      <c r="E22" s="6" t="s">
        <v>170</v>
      </c>
      <c r="F22" s="49" t="n">
        <v>0</v>
      </c>
      <c r="G22" s="50" t="s">
        <v>137</v>
      </c>
      <c r="H22" s="5" t="s">
        <v>171</v>
      </c>
    </row>
    <row r="23" customFormat="false" ht="30" hidden="false" customHeight="true" outlineLevel="0" collapsed="false">
      <c r="B23" s="9" t="n">
        <v>4</v>
      </c>
      <c r="C23" s="7" t="s">
        <v>172</v>
      </c>
      <c r="D23" s="8" t="s">
        <v>166</v>
      </c>
      <c r="E23" s="8" t="s">
        <v>173</v>
      </c>
      <c r="F23" s="49" t="n">
        <v>0</v>
      </c>
      <c r="G23" s="50" t="s">
        <v>137</v>
      </c>
      <c r="H23" s="7" t="s">
        <v>174</v>
      </c>
    </row>
    <row r="24" customFormat="false" ht="30" hidden="false" customHeight="true" outlineLevel="0" collapsed="false">
      <c r="B24" s="9" t="n">
        <v>4</v>
      </c>
      <c r="C24" s="5" t="s">
        <v>175</v>
      </c>
      <c r="D24" s="6" t="s">
        <v>166</v>
      </c>
      <c r="E24" s="6" t="s">
        <v>176</v>
      </c>
      <c r="F24" s="49" t="n">
        <v>0</v>
      </c>
      <c r="G24" s="50" t="s">
        <v>137</v>
      </c>
      <c r="H24" s="5" t="s">
        <v>177</v>
      </c>
    </row>
    <row r="25" customFormat="false" ht="30" hidden="false" customHeight="true" outlineLevel="0" collapsed="false">
      <c r="B25" s="9" t="n">
        <v>4</v>
      </c>
      <c r="C25" s="7" t="s">
        <v>178</v>
      </c>
      <c r="D25" s="8" t="s">
        <v>166</v>
      </c>
      <c r="E25" s="8" t="s">
        <v>179</v>
      </c>
      <c r="F25" s="49" t="n">
        <v>0</v>
      </c>
      <c r="G25" s="50" t="s">
        <v>137</v>
      </c>
      <c r="H25" s="7" t="s">
        <v>180</v>
      </c>
    </row>
    <row r="26" customFormat="false" ht="30" hidden="false" customHeight="true" outlineLevel="0" collapsed="false">
      <c r="B26" s="9" t="n">
        <v>4</v>
      </c>
      <c r="C26" s="5" t="s">
        <v>181</v>
      </c>
      <c r="D26" s="6" t="s">
        <v>166</v>
      </c>
      <c r="E26" s="6" t="s">
        <v>20</v>
      </c>
      <c r="F26" s="49" t="n">
        <v>0</v>
      </c>
      <c r="G26" s="50" t="s">
        <v>137</v>
      </c>
      <c r="H26" s="5" t="s">
        <v>182</v>
      </c>
    </row>
    <row r="27" customFormat="false" ht="30" hidden="false" customHeight="true" outlineLevel="0" collapsed="false">
      <c r="B27" s="9" t="n">
        <v>4</v>
      </c>
      <c r="C27" s="7" t="s">
        <v>183</v>
      </c>
      <c r="D27" s="8" t="s">
        <v>166</v>
      </c>
      <c r="E27" s="8" t="s">
        <v>24</v>
      </c>
      <c r="F27" s="49" t="n">
        <v>0</v>
      </c>
      <c r="G27" s="50" t="s">
        <v>137</v>
      </c>
      <c r="H27" s="7" t="s">
        <v>184</v>
      </c>
    </row>
    <row r="28" customFormat="false" ht="30" hidden="false" customHeight="true" outlineLevel="0" collapsed="false">
      <c r="B28" s="38" t="n">
        <v>5</v>
      </c>
      <c r="C28" s="5" t="s">
        <v>185</v>
      </c>
      <c r="D28" s="6" t="s">
        <v>186</v>
      </c>
      <c r="E28" s="6" t="s">
        <v>16</v>
      </c>
      <c r="F28" s="46" t="n">
        <v>60</v>
      </c>
      <c r="G28" s="32" t="s">
        <v>10</v>
      </c>
      <c r="H28" s="5" t="s">
        <v>187</v>
      </c>
    </row>
    <row r="29" customFormat="false" ht="30" hidden="false" customHeight="true" outlineLevel="0" collapsed="false">
      <c r="B29" s="38" t="n">
        <v>5</v>
      </c>
      <c r="C29" s="7" t="s">
        <v>188</v>
      </c>
      <c r="D29" s="8" t="s">
        <v>100</v>
      </c>
      <c r="E29" s="8" t="s">
        <v>116</v>
      </c>
      <c r="F29" s="46" t="n">
        <v>10</v>
      </c>
      <c r="G29" s="32" t="s">
        <v>10</v>
      </c>
      <c r="H29" s="7" t="s">
        <v>189</v>
      </c>
    </row>
    <row r="30" customFormat="false" ht="30" hidden="false" customHeight="true" outlineLevel="0" collapsed="false">
      <c r="B30" s="38" t="n">
        <v>5</v>
      </c>
      <c r="C30" s="5" t="s">
        <v>190</v>
      </c>
      <c r="D30" s="6" t="s">
        <v>100</v>
      </c>
      <c r="E30" s="6" t="s">
        <v>153</v>
      </c>
      <c r="F30" s="49" t="n">
        <v>0</v>
      </c>
      <c r="G30" s="50" t="s">
        <v>137</v>
      </c>
      <c r="H30" s="5" t="s">
        <v>191</v>
      </c>
    </row>
    <row r="31" customFormat="false" ht="30" hidden="false" customHeight="true" outlineLevel="0" collapsed="false">
      <c r="B31" s="38" t="n">
        <v>5</v>
      </c>
      <c r="C31" s="7" t="s">
        <v>192</v>
      </c>
      <c r="D31" s="8" t="s">
        <v>100</v>
      </c>
      <c r="E31" s="8" t="s">
        <v>133</v>
      </c>
      <c r="F31" s="49" t="n">
        <v>0</v>
      </c>
      <c r="G31" s="50" t="s">
        <v>137</v>
      </c>
      <c r="H31" s="7" t="s">
        <v>193</v>
      </c>
    </row>
    <row r="32" customFormat="false" ht="30" hidden="false" customHeight="true" outlineLevel="0" collapsed="false">
      <c r="B32" s="39" t="n">
        <v>6</v>
      </c>
      <c r="C32" s="5" t="s">
        <v>194</v>
      </c>
      <c r="D32" s="6" t="s">
        <v>104</v>
      </c>
      <c r="E32" s="6" t="s">
        <v>9</v>
      </c>
      <c r="F32" s="49" t="n">
        <v>0</v>
      </c>
      <c r="G32" s="50" t="s">
        <v>137</v>
      </c>
      <c r="H32" s="5" t="s">
        <v>195</v>
      </c>
    </row>
    <row r="33" customFormat="false" ht="30" hidden="false" customHeight="true" outlineLevel="0" collapsed="false">
      <c r="B33" s="39" t="n">
        <v>6</v>
      </c>
      <c r="C33" s="7" t="s">
        <v>196</v>
      </c>
      <c r="D33" s="8" t="s">
        <v>104</v>
      </c>
      <c r="E33" s="8" t="s">
        <v>9</v>
      </c>
      <c r="F33" s="49" t="n">
        <v>0</v>
      </c>
      <c r="G33" s="50" t="s">
        <v>137</v>
      </c>
      <c r="H33" s="7" t="s">
        <v>197</v>
      </c>
    </row>
    <row r="34" customFormat="false" ht="30" hidden="false" customHeight="true" outlineLevel="0" collapsed="false">
      <c r="B34" s="39" t="n">
        <v>6</v>
      </c>
      <c r="C34" s="5" t="s">
        <v>198</v>
      </c>
      <c r="D34" s="6" t="s">
        <v>104</v>
      </c>
      <c r="E34" s="6" t="s">
        <v>9</v>
      </c>
      <c r="F34" s="49" t="n">
        <v>0</v>
      </c>
      <c r="G34" s="50" t="s">
        <v>137</v>
      </c>
      <c r="H34" s="5" t="s">
        <v>199</v>
      </c>
    </row>
    <row r="35" customFormat="false" ht="30" hidden="false" customHeight="true" outlineLevel="0" collapsed="false">
      <c r="B35" s="39" t="n">
        <v>6</v>
      </c>
      <c r="C35" s="7" t="s">
        <v>200</v>
      </c>
      <c r="D35" s="8" t="s">
        <v>104</v>
      </c>
      <c r="E35" s="8" t="s">
        <v>9</v>
      </c>
      <c r="F35" s="49" t="n">
        <v>0</v>
      </c>
      <c r="G35" s="50" t="s">
        <v>137</v>
      </c>
      <c r="H35" s="7" t="s">
        <v>201</v>
      </c>
    </row>
    <row r="36" customFormat="false" ht="30" hidden="false" customHeight="true" outlineLevel="0" collapsed="false">
      <c r="B36" s="39" t="n">
        <v>6</v>
      </c>
      <c r="C36" s="5" t="s">
        <v>202</v>
      </c>
      <c r="D36" s="6" t="s">
        <v>104</v>
      </c>
      <c r="E36" s="6" t="s">
        <v>9</v>
      </c>
      <c r="F36" s="49" t="n">
        <v>0</v>
      </c>
      <c r="G36" s="50" t="s">
        <v>137</v>
      </c>
      <c r="H36" s="5" t="s">
        <v>203</v>
      </c>
    </row>
    <row r="37" customFormat="false" ht="30" hidden="false" customHeight="true" outlineLevel="0" collapsed="false">
      <c r="B37" s="39" t="n">
        <v>6</v>
      </c>
      <c r="C37" s="7" t="s">
        <v>204</v>
      </c>
      <c r="D37" s="8" t="s">
        <v>104</v>
      </c>
      <c r="E37" s="8" t="s">
        <v>9</v>
      </c>
      <c r="F37" s="49" t="n">
        <v>0</v>
      </c>
      <c r="G37" s="50" t="s">
        <v>137</v>
      </c>
      <c r="H37" s="7" t="s">
        <v>205</v>
      </c>
    </row>
    <row r="38" customFormat="false" ht="30" hidden="false" customHeight="true" outlineLevel="0" collapsed="false">
      <c r="B38" s="39" t="n">
        <v>6</v>
      </c>
      <c r="C38" s="5" t="s">
        <v>206</v>
      </c>
      <c r="D38" s="6" t="s">
        <v>104</v>
      </c>
      <c r="E38" s="6" t="s">
        <v>9</v>
      </c>
      <c r="F38" s="49" t="n">
        <v>0</v>
      </c>
      <c r="G38" s="50" t="s">
        <v>137</v>
      </c>
      <c r="H38" s="5" t="s">
        <v>207</v>
      </c>
    </row>
    <row r="39" customFormat="false" ht="30" hidden="false" customHeight="true" outlineLevel="0" collapsed="false">
      <c r="B39" s="39" t="n">
        <v>6</v>
      </c>
      <c r="C39" s="7" t="s">
        <v>208</v>
      </c>
      <c r="D39" s="8" t="s">
        <v>104</v>
      </c>
      <c r="E39" s="8" t="s">
        <v>9</v>
      </c>
      <c r="F39" s="49" t="n">
        <v>0</v>
      </c>
      <c r="G39" s="50" t="s">
        <v>137</v>
      </c>
      <c r="H39" s="7" t="s">
        <v>209</v>
      </c>
    </row>
    <row r="40" customFormat="false" ht="30" hidden="false" customHeight="true" outlineLevel="0" collapsed="false">
      <c r="B40" s="39" t="n">
        <v>6</v>
      </c>
      <c r="C40" s="5" t="s">
        <v>210</v>
      </c>
      <c r="D40" s="6" t="s">
        <v>104</v>
      </c>
      <c r="E40" s="6" t="s">
        <v>9</v>
      </c>
      <c r="F40" s="49" t="n">
        <v>0</v>
      </c>
      <c r="G40" s="50" t="s">
        <v>137</v>
      </c>
      <c r="H40" s="5" t="s">
        <v>211</v>
      </c>
    </row>
    <row r="41" customFormat="false" ht="30" hidden="false" customHeight="true" outlineLevel="0" collapsed="false">
      <c r="B41" s="39" t="n">
        <v>6</v>
      </c>
      <c r="C41" s="7" t="s">
        <v>212</v>
      </c>
      <c r="D41" s="8" t="s">
        <v>104</v>
      </c>
      <c r="E41" s="8" t="s">
        <v>9</v>
      </c>
      <c r="F41" s="49" t="n">
        <v>0</v>
      </c>
      <c r="G41" s="50" t="s">
        <v>137</v>
      </c>
      <c r="H41" s="7" t="s">
        <v>213</v>
      </c>
    </row>
    <row r="42" customFormat="false" ht="15" hidden="false" customHeight="false" outlineLevel="0" collapsed="false">
      <c r="B42" s="14" t="s">
        <v>214</v>
      </c>
      <c r="C42" s="14"/>
      <c r="D42" s="14"/>
      <c r="E42" s="14"/>
      <c r="F42" s="14"/>
      <c r="G42" s="14"/>
      <c r="H42" s="14"/>
    </row>
  </sheetData>
  <mergeCells count="3">
    <mergeCell ref="B2:H2"/>
    <mergeCell ref="B3:H3"/>
    <mergeCell ref="B42:H42"/>
  </mergeCells>
  <conditionalFormatting sqref="F6:F40">
    <cfRule type="dataBar" priority="2">
      <dataBar showValue="1" minLength="10" maxLength="90">
        <cfvo type="min" val="0"/>
        <cfvo type="max" val="100"/>
        <color rgb="FF4A90D9"/>
      </dataBar>
      <extLst>
        <ext xmlns:x14="http://schemas.microsoft.com/office/spreadsheetml/2009/9/main" uri="{B025F937-C7B1-47D3-B67F-A62EFF666E3E}">
          <x14:id>{7026B290-F9BD-4FC8-B2B3-D0102D632682}</x14:id>
        </ext>
      </extLst>
    </cfRule>
  </conditionalFormatting>
  <dataValidations count="2">
    <dataValidation allowBlank="true" errorStyle="stop" operator="between" showDropDown="false" showErrorMessage="true" showInputMessage="true" sqref="B6:B100" type="list">
      <formula1>"1,2,3,4,5,6"</formula1>
      <formula2>0</formula2>
    </dataValidation>
    <dataValidation allowBlank="true" errorStyle="stop" operator="between" showDropDown="false" showErrorMessage="true" showInputMessage="true" sqref="G6:G100" type="list">
      <formula1>"Не начато,В работе,Выполнено,Отменено"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6B290-F9BD-4FC8-B2B3-D0102D632682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F6:F40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3" min="2" style="0" width="12.71"/>
    <col collapsed="false" customWidth="true" hidden="false" outlineLevel="0" max="4" min="4" style="0" width="16.71"/>
    <col collapsed="false" customWidth="true" hidden="false" outlineLevel="0" max="5" min="5" style="0" width="22.71"/>
    <col collapsed="false" customWidth="true" hidden="false" outlineLevel="0" max="6" min="6" style="0" width="20.71"/>
    <col collapsed="false" customWidth="true" hidden="false" outlineLevel="0" max="7" min="7" style="0" width="30.71"/>
    <col collapsed="false" customWidth="true" hidden="false" outlineLevel="0" max="8" min="8" style="0" width="16.71"/>
    <col collapsed="false" customWidth="true" hidden="false" outlineLevel="0" max="9" min="9" style="0" width="30.71"/>
    <col collapsed="false" customWidth="true" hidden="false" outlineLevel="0" max="10" min="10" style="0" width="18.71"/>
    <col collapsed="false" customWidth="true" hidden="false" outlineLevel="0" max="11" min="11" style="0" width="32.71"/>
    <col collapsed="false" customWidth="true" hidden="false" outlineLevel="0" max="12" min="12" style="0" width="20.71"/>
    <col collapsed="false" customWidth="true" hidden="false" outlineLevel="0" max="13" min="13" style="0" width="22.71"/>
  </cols>
  <sheetData>
    <row r="2" customFormat="false" ht="37.5" hidden="false" customHeight="true" outlineLevel="0" collapsed="false">
      <c r="B2" s="1" t="s">
        <v>215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9.5" hidden="false" customHeight="true" outlineLevel="0" collapsed="false">
      <c r="B3" s="2" t="s">
        <v>216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39.75" hidden="false" customHeight="true" outlineLevel="0" collapsed="false">
      <c r="B5" s="51" t="s">
        <v>217</v>
      </c>
      <c r="C5" s="51" t="s">
        <v>218</v>
      </c>
      <c r="D5" s="51" t="s">
        <v>219</v>
      </c>
      <c r="E5" s="51" t="s">
        <v>220</v>
      </c>
      <c r="F5" s="51" t="s">
        <v>221</v>
      </c>
      <c r="G5" s="51" t="s">
        <v>222</v>
      </c>
      <c r="H5" s="51" t="s">
        <v>223</v>
      </c>
      <c r="I5" s="51" t="s">
        <v>224</v>
      </c>
      <c r="J5" s="51" t="s">
        <v>225</v>
      </c>
      <c r="K5" s="51" t="s">
        <v>226</v>
      </c>
      <c r="L5" s="51" t="s">
        <v>227</v>
      </c>
      <c r="M5" s="51" t="s">
        <v>228</v>
      </c>
    </row>
    <row r="6" customFormat="false" ht="36" hidden="false" customHeight="true" outlineLevel="0" collapsed="false">
      <c r="B6" s="52" t="s">
        <v>229</v>
      </c>
      <c r="C6" s="52" t="s">
        <v>230</v>
      </c>
      <c r="D6" s="53" t="s">
        <v>231</v>
      </c>
      <c r="E6" s="53" t="s">
        <v>232</v>
      </c>
      <c r="F6" s="54" t="s">
        <v>233</v>
      </c>
      <c r="G6" s="53" t="s">
        <v>234</v>
      </c>
      <c r="H6" s="54" t="s">
        <v>235</v>
      </c>
      <c r="I6" s="53" t="s">
        <v>236</v>
      </c>
      <c r="J6" s="54" t="s">
        <v>237</v>
      </c>
      <c r="K6" s="53" t="s">
        <v>238</v>
      </c>
      <c r="L6" s="53" t="s">
        <v>239</v>
      </c>
      <c r="M6" s="55" t="s">
        <v>240</v>
      </c>
    </row>
    <row r="7" customFormat="false" ht="36" hidden="false" customHeight="true" outlineLevel="0" collapsed="false">
      <c r="B7" s="52" t="s">
        <v>241</v>
      </c>
      <c r="C7" s="52" t="s">
        <v>242</v>
      </c>
      <c r="D7" s="53" t="s">
        <v>231</v>
      </c>
      <c r="E7" s="53" t="s">
        <v>232</v>
      </c>
      <c r="F7" s="54" t="s">
        <v>233</v>
      </c>
      <c r="G7" s="53" t="s">
        <v>234</v>
      </c>
      <c r="H7" s="54" t="s">
        <v>235</v>
      </c>
      <c r="I7" s="53" t="s">
        <v>236</v>
      </c>
      <c r="J7" s="54" t="s">
        <v>237</v>
      </c>
      <c r="K7" s="53" t="s">
        <v>243</v>
      </c>
      <c r="L7" s="53" t="s">
        <v>239</v>
      </c>
      <c r="M7" s="55" t="s">
        <v>240</v>
      </c>
    </row>
    <row r="8" customFormat="false" ht="36" hidden="false" customHeight="true" outlineLevel="0" collapsed="false">
      <c r="B8" s="52" t="s">
        <v>244</v>
      </c>
      <c r="C8" s="52" t="s">
        <v>245</v>
      </c>
      <c r="D8" s="53" t="s">
        <v>231</v>
      </c>
      <c r="E8" s="53" t="s">
        <v>232</v>
      </c>
      <c r="F8" s="54" t="s">
        <v>233</v>
      </c>
      <c r="G8" s="53" t="s">
        <v>234</v>
      </c>
      <c r="H8" s="54" t="s">
        <v>235</v>
      </c>
      <c r="I8" s="53" t="s">
        <v>236</v>
      </c>
      <c r="J8" s="54" t="s">
        <v>237</v>
      </c>
      <c r="K8" s="53" t="s">
        <v>246</v>
      </c>
      <c r="L8" s="53" t="s">
        <v>239</v>
      </c>
      <c r="M8" s="55" t="s">
        <v>240</v>
      </c>
    </row>
    <row r="9" customFormat="false" ht="36" hidden="false" customHeight="true" outlineLevel="0" collapsed="false">
      <c r="B9" s="56" t="s">
        <v>16</v>
      </c>
      <c r="C9" s="56" t="s">
        <v>247</v>
      </c>
      <c r="D9" s="7" t="s">
        <v>231</v>
      </c>
      <c r="E9" s="7" t="s">
        <v>248</v>
      </c>
      <c r="F9" s="8" t="s">
        <v>233</v>
      </c>
      <c r="G9" s="7" t="s">
        <v>249</v>
      </c>
      <c r="H9" s="8" t="s">
        <v>235</v>
      </c>
      <c r="I9" s="7" t="s">
        <v>250</v>
      </c>
      <c r="J9" s="8" t="s">
        <v>237</v>
      </c>
      <c r="K9" s="7" t="s">
        <v>251</v>
      </c>
      <c r="L9" s="7" t="s">
        <v>239</v>
      </c>
      <c r="M9" s="57" t="s">
        <v>252</v>
      </c>
    </row>
    <row r="10" customFormat="false" ht="36" hidden="false" customHeight="true" outlineLevel="0" collapsed="false">
      <c r="B10" s="58" t="s">
        <v>253</v>
      </c>
      <c r="C10" s="59" t="s">
        <v>254</v>
      </c>
      <c r="D10" s="60" t="s">
        <v>231</v>
      </c>
      <c r="E10" s="60" t="s">
        <v>248</v>
      </c>
      <c r="F10" s="61" t="s">
        <v>233</v>
      </c>
      <c r="G10" s="60" t="s">
        <v>255</v>
      </c>
      <c r="H10" s="61" t="s">
        <v>235</v>
      </c>
      <c r="I10" s="60" t="s">
        <v>256</v>
      </c>
      <c r="J10" s="61" t="s">
        <v>237</v>
      </c>
      <c r="K10" s="60" t="s">
        <v>257</v>
      </c>
      <c r="L10" s="60" t="s">
        <v>239</v>
      </c>
      <c r="M10" s="62" t="s">
        <v>258</v>
      </c>
    </row>
    <row r="11" customFormat="false" ht="36" hidden="false" customHeight="true" outlineLevel="0" collapsed="false">
      <c r="B11" s="63" t="s">
        <v>259</v>
      </c>
      <c r="C11" s="64" t="s">
        <v>260</v>
      </c>
      <c r="D11" s="65" t="s">
        <v>231</v>
      </c>
      <c r="E11" s="65" t="s">
        <v>261</v>
      </c>
      <c r="F11" s="66" t="s">
        <v>233</v>
      </c>
      <c r="G11" s="65" t="s">
        <v>262</v>
      </c>
      <c r="H11" s="66" t="s">
        <v>235</v>
      </c>
      <c r="I11" s="65" t="s">
        <v>263</v>
      </c>
      <c r="J11" s="66" t="s">
        <v>237</v>
      </c>
      <c r="K11" s="65" t="s">
        <v>264</v>
      </c>
      <c r="L11" s="65" t="s">
        <v>239</v>
      </c>
      <c r="M11" s="67" t="s">
        <v>265</v>
      </c>
    </row>
    <row r="12" customFormat="false" ht="15" hidden="false" customHeight="false" outlineLevel="0" collapsed="false">
      <c r="B12" s="14" t="s">
        <v>266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</sheetData>
  <mergeCells count="3">
    <mergeCell ref="B2:M2"/>
    <mergeCell ref="B3:M3"/>
    <mergeCell ref="B12:M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14.71"/>
    <col collapsed="false" customWidth="true" hidden="false" outlineLevel="0" max="4" min="3" style="0" width="12.71"/>
    <col collapsed="false" customWidth="true" hidden="false" outlineLevel="0" max="5" min="5" style="0" width="22.71"/>
    <col collapsed="false" customWidth="true" hidden="false" outlineLevel="0" max="6" min="6" style="0" width="12.71"/>
    <col collapsed="false" customWidth="true" hidden="false" outlineLevel="0" max="7" min="7" style="0" width="16.71"/>
    <col collapsed="false" customWidth="true" hidden="false" outlineLevel="0" max="9" min="8" style="0" width="14.71"/>
    <col collapsed="false" customWidth="true" hidden="false" outlineLevel="0" max="10" min="10" style="0" width="24.71"/>
  </cols>
  <sheetData>
    <row r="2" customFormat="false" ht="37.5" hidden="false" customHeight="true" outlineLevel="0" collapsed="false">
      <c r="B2" s="1" t="s">
        <v>267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2" t="s">
        <v>268</v>
      </c>
      <c r="C3" s="2"/>
      <c r="D3" s="2"/>
      <c r="E3" s="2"/>
      <c r="F3" s="2"/>
      <c r="G3" s="2"/>
      <c r="H3" s="2"/>
      <c r="I3" s="2"/>
      <c r="J3" s="2"/>
    </row>
    <row r="5" customFormat="false" ht="31.5" hidden="false" customHeight="true" outlineLevel="0" collapsed="false">
      <c r="B5" s="51" t="s">
        <v>92</v>
      </c>
      <c r="C5" s="51" t="s">
        <v>269</v>
      </c>
      <c r="D5" s="51" t="s">
        <v>270</v>
      </c>
      <c r="E5" s="51" t="s">
        <v>271</v>
      </c>
      <c r="F5" s="51" t="s">
        <v>272</v>
      </c>
      <c r="G5" s="51" t="s">
        <v>273</v>
      </c>
      <c r="H5" s="51" t="s">
        <v>87</v>
      </c>
      <c r="I5" s="51" t="s">
        <v>274</v>
      </c>
      <c r="J5" s="51" t="s">
        <v>275</v>
      </c>
    </row>
    <row r="6" customFormat="false" ht="27.75" hidden="false" customHeight="true" outlineLevel="0" collapsed="false">
      <c r="B6" s="68" t="s">
        <v>276</v>
      </c>
      <c r="D6" s="69" t="n">
        <v>0</v>
      </c>
      <c r="E6" s="6" t="s">
        <v>277</v>
      </c>
      <c r="F6" s="6" t="n">
        <v>90</v>
      </c>
      <c r="G6" s="69" t="n">
        <v>0</v>
      </c>
      <c r="H6" s="6" t="s">
        <v>278</v>
      </c>
      <c r="I6" s="6" t="n">
        <v>0</v>
      </c>
      <c r="J6" s="6" t="s">
        <v>279</v>
      </c>
    </row>
    <row r="7" customFormat="false" ht="27.75" hidden="false" customHeight="true" outlineLevel="0" collapsed="false">
      <c r="B7" s="70" t="s">
        <v>167</v>
      </c>
      <c r="D7" s="71"/>
      <c r="E7" s="8" t="s">
        <v>280</v>
      </c>
      <c r="F7" s="8"/>
      <c r="G7" s="71"/>
      <c r="H7" s="8" t="s">
        <v>281</v>
      </c>
      <c r="I7" s="8" t="n">
        <v>1</v>
      </c>
      <c r="J7" s="8" t="s">
        <v>282</v>
      </c>
    </row>
    <row r="8" customFormat="false" ht="27.75" hidden="false" customHeight="true" outlineLevel="0" collapsed="false">
      <c r="B8" s="72" t="s">
        <v>170</v>
      </c>
      <c r="D8" s="69"/>
      <c r="E8" s="6" t="s">
        <v>283</v>
      </c>
      <c r="F8" s="6"/>
      <c r="G8" s="69"/>
      <c r="H8" s="6" t="s">
        <v>284</v>
      </c>
      <c r="I8" s="6" t="n">
        <v>1</v>
      </c>
      <c r="J8" s="6" t="s">
        <v>285</v>
      </c>
    </row>
    <row r="9" customFormat="false" ht="27.75" hidden="false" customHeight="true" outlineLevel="0" collapsed="false">
      <c r="B9" s="70" t="s">
        <v>173</v>
      </c>
      <c r="D9" s="71"/>
      <c r="E9" s="8" t="s">
        <v>286</v>
      </c>
      <c r="F9" s="8"/>
      <c r="G9" s="71"/>
      <c r="H9" s="8" t="s">
        <v>287</v>
      </c>
      <c r="I9" s="8" t="n">
        <v>1</v>
      </c>
      <c r="J9" s="8" t="s">
        <v>288</v>
      </c>
    </row>
    <row r="10" customFormat="false" ht="27.75" hidden="false" customHeight="true" outlineLevel="0" collapsed="false">
      <c r="B10" s="72" t="s">
        <v>176</v>
      </c>
      <c r="D10" s="69"/>
      <c r="E10" s="6" t="s">
        <v>289</v>
      </c>
      <c r="F10" s="6"/>
      <c r="G10" s="69"/>
      <c r="H10" s="6" t="s">
        <v>290</v>
      </c>
      <c r="I10" s="6" t="n">
        <v>1</v>
      </c>
      <c r="J10" s="6" t="s">
        <v>291</v>
      </c>
    </row>
    <row r="11" customFormat="false" ht="27.75" hidden="false" customHeight="true" outlineLevel="0" collapsed="false">
      <c r="B11" s="70" t="s">
        <v>179</v>
      </c>
      <c r="D11" s="71"/>
      <c r="E11" s="8" t="s">
        <v>292</v>
      </c>
      <c r="F11" s="8"/>
      <c r="G11" s="71"/>
      <c r="H11" s="8" t="s">
        <v>293</v>
      </c>
      <c r="I11" s="8" t="n">
        <v>2</v>
      </c>
      <c r="J11" s="8" t="s">
        <v>294</v>
      </c>
    </row>
    <row r="12" customFormat="false" ht="27.75" hidden="false" customHeight="true" outlineLevel="0" collapsed="false">
      <c r="B12" s="72" t="s">
        <v>295</v>
      </c>
      <c r="D12" s="69"/>
      <c r="E12" s="6" t="s">
        <v>296</v>
      </c>
      <c r="F12" s="6"/>
      <c r="G12" s="69"/>
      <c r="H12" s="6" t="s">
        <v>297</v>
      </c>
      <c r="I12" s="6" t="n">
        <v>2</v>
      </c>
      <c r="J12" s="6" t="s">
        <v>298</v>
      </c>
    </row>
    <row r="13" customFormat="false" ht="27.75" hidden="false" customHeight="true" outlineLevel="0" collapsed="false">
      <c r="B13" s="70" t="s">
        <v>20</v>
      </c>
      <c r="D13" s="71"/>
      <c r="E13" s="8" t="s">
        <v>299</v>
      </c>
      <c r="F13" s="8"/>
      <c r="G13" s="71" t="n">
        <v>5000</v>
      </c>
      <c r="H13" s="8" t="s">
        <v>297</v>
      </c>
      <c r="I13" s="8" t="n">
        <v>2</v>
      </c>
      <c r="J13" s="8" t="s">
        <v>300</v>
      </c>
    </row>
    <row r="14" customFormat="false" ht="27.75" hidden="false" customHeight="true" outlineLevel="0" collapsed="false">
      <c r="B14" s="72" t="s">
        <v>24</v>
      </c>
      <c r="D14" s="69"/>
      <c r="E14" s="6" t="s">
        <v>301</v>
      </c>
      <c r="F14" s="6"/>
      <c r="G14" s="69"/>
      <c r="H14" s="6" t="s">
        <v>302</v>
      </c>
      <c r="I14" s="6" t="n">
        <v>0</v>
      </c>
      <c r="J14" s="6" t="s">
        <v>303</v>
      </c>
    </row>
    <row r="16" customFormat="false" ht="15" hidden="false" customHeight="false" outlineLevel="0" collapsed="false">
      <c r="B16" s="3" t="s">
        <v>304</v>
      </c>
      <c r="C16" s="3"/>
      <c r="D16" s="3"/>
      <c r="E16" s="3"/>
      <c r="F16" s="3"/>
      <c r="G16" s="3"/>
      <c r="H16" s="3"/>
      <c r="I16" s="3"/>
      <c r="J16" s="3"/>
    </row>
  </sheetData>
  <mergeCells count="3">
    <mergeCell ref="B2:J2"/>
    <mergeCell ref="B3:J3"/>
    <mergeCell ref="B16:J16"/>
  </mergeCells>
  <conditionalFormatting sqref="D6:D15">
    <cfRule type="dataBar" priority="2">
      <dataBar showValue="1" minLength="10" maxLength="90">
        <cfvo type="min" val="0"/>
        <cfvo type="max" val="3"/>
        <color rgb="FF4A90D9"/>
      </dataBar>
      <extLst>
        <ext xmlns:x14="http://schemas.microsoft.com/office/spreadsheetml/2009/9/main" uri="{B025F937-C7B1-47D3-B67F-A62EFF666E3E}">
          <x14:id>{1F13BBD2-C38A-4834-8C69-A1875E67B087}</x14:id>
        </ext>
      </extLst>
    </cfRule>
  </conditionalFormatting>
  <conditionalFormatting sqref="G6:G15">
    <cfRule type="dataBar" priority="3">
      <dataBar showValue="1" minLength="10" maxLength="90">
        <cfvo type="min" val="0"/>
        <cfvo type="max" val="5000"/>
        <color rgb="FF4A90D9"/>
      </dataBar>
      <extLst>
        <ext xmlns:x14="http://schemas.microsoft.com/office/spreadsheetml/2009/9/main" uri="{B025F937-C7B1-47D3-B67F-A62EFF666E3E}">
          <x14:id>{E07F7713-A02F-4866-82C9-18CF4AFF9BD0}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13BBD2-C38A-4834-8C69-A1875E67B087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D6:D15</xm:sqref>
        </x14:conditionalFormatting>
        <x14:conditionalFormatting xmlns:xm="http://schemas.microsoft.com/office/excel/2006/main">
          <x14:cfRule type="dataBar" id="{E07F7713-A02F-4866-82C9-18CF4AFF9BD0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G6:G15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6.71"/>
    <col collapsed="false" customWidth="true" hidden="false" outlineLevel="0" max="3" min="3" style="0" width="22.71"/>
    <col collapsed="false" customWidth="true" hidden="false" outlineLevel="0" max="4" min="4" style="0" width="26.71"/>
    <col collapsed="false" customWidth="true" hidden="false" outlineLevel="0" max="5" min="5" style="0" width="14.71"/>
    <col collapsed="false" customWidth="true" hidden="false" outlineLevel="0" max="6" min="6" style="0" width="18.71"/>
    <col collapsed="false" customWidth="true" hidden="false" outlineLevel="0" max="7" min="7" style="0" width="44.71"/>
    <col collapsed="false" customWidth="true" hidden="false" outlineLevel="0" max="8" min="8" style="0" width="18.71"/>
  </cols>
  <sheetData>
    <row r="2" customFormat="false" ht="37.5" hidden="false" customHeight="true" outlineLevel="0" collapsed="false">
      <c r="B2" s="1" t="s">
        <v>305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306</v>
      </c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B5" s="4" t="s">
        <v>307</v>
      </c>
      <c r="C5" s="4" t="s">
        <v>308</v>
      </c>
      <c r="D5" s="4" t="s">
        <v>309</v>
      </c>
      <c r="E5" s="4" t="s">
        <v>310</v>
      </c>
      <c r="F5" s="4" t="s">
        <v>311</v>
      </c>
      <c r="G5" s="4" t="s">
        <v>312</v>
      </c>
      <c r="H5" s="4" t="s">
        <v>313</v>
      </c>
    </row>
    <row r="6" customFormat="false" ht="39.75" hidden="false" customHeight="true" outlineLevel="0" collapsed="false">
      <c r="B6" s="6" t="n">
        <v>1</v>
      </c>
      <c r="C6" s="5" t="s">
        <v>314</v>
      </c>
      <c r="D6" s="5" t="s">
        <v>315</v>
      </c>
      <c r="E6" s="6" t="s">
        <v>316</v>
      </c>
      <c r="F6" s="6" t="s">
        <v>317</v>
      </c>
      <c r="G6" s="5" t="s">
        <v>318</v>
      </c>
      <c r="H6" s="50" t="s">
        <v>137</v>
      </c>
    </row>
    <row r="7" customFormat="false" ht="39.75" hidden="false" customHeight="true" outlineLevel="0" collapsed="false">
      <c r="B7" s="8" t="n">
        <v>2</v>
      </c>
      <c r="C7" s="7" t="s">
        <v>319</v>
      </c>
      <c r="D7" s="7" t="s">
        <v>320</v>
      </c>
      <c r="E7" s="8" t="s">
        <v>321</v>
      </c>
      <c r="F7" s="8" t="s">
        <v>322</v>
      </c>
      <c r="G7" s="7" t="s">
        <v>197</v>
      </c>
      <c r="H7" s="50" t="s">
        <v>137</v>
      </c>
    </row>
    <row r="8" customFormat="false" ht="39.75" hidden="false" customHeight="true" outlineLevel="0" collapsed="false">
      <c r="B8" s="6" t="n">
        <v>3</v>
      </c>
      <c r="C8" s="5" t="s">
        <v>323</v>
      </c>
      <c r="D8" s="5" t="s">
        <v>324</v>
      </c>
      <c r="E8" s="6" t="s">
        <v>325</v>
      </c>
      <c r="F8" s="6" t="s">
        <v>326</v>
      </c>
      <c r="G8" s="5" t="s">
        <v>327</v>
      </c>
      <c r="H8" s="50" t="s">
        <v>137</v>
      </c>
    </row>
    <row r="9" customFormat="false" ht="39.75" hidden="false" customHeight="true" outlineLevel="0" collapsed="false">
      <c r="B9" s="8" t="n">
        <v>4</v>
      </c>
      <c r="C9" s="7" t="s">
        <v>328</v>
      </c>
      <c r="D9" s="7" t="s">
        <v>329</v>
      </c>
      <c r="E9" s="8" t="s">
        <v>330</v>
      </c>
      <c r="F9" s="8" t="s">
        <v>331</v>
      </c>
      <c r="G9" s="7" t="s">
        <v>199</v>
      </c>
      <c r="H9" s="50" t="s">
        <v>137</v>
      </c>
    </row>
    <row r="10" customFormat="false" ht="39.75" hidden="false" customHeight="true" outlineLevel="0" collapsed="false">
      <c r="B10" s="6" t="n">
        <v>5</v>
      </c>
      <c r="C10" s="5" t="s">
        <v>332</v>
      </c>
      <c r="D10" s="5" t="s">
        <v>333</v>
      </c>
      <c r="E10" s="6" t="s">
        <v>330</v>
      </c>
      <c r="F10" s="6" t="s">
        <v>334</v>
      </c>
      <c r="G10" s="5" t="s">
        <v>201</v>
      </c>
      <c r="H10" s="50" t="s">
        <v>137</v>
      </c>
    </row>
    <row r="11" customFormat="false" ht="39.75" hidden="false" customHeight="true" outlineLevel="0" collapsed="false">
      <c r="B11" s="8" t="n">
        <v>6</v>
      </c>
      <c r="C11" s="7" t="s">
        <v>335</v>
      </c>
      <c r="D11" s="7" t="s">
        <v>336</v>
      </c>
      <c r="E11" s="8" t="s">
        <v>337</v>
      </c>
      <c r="F11" s="8" t="s">
        <v>326</v>
      </c>
      <c r="G11" s="7" t="s">
        <v>209</v>
      </c>
      <c r="H11" s="50" t="s">
        <v>137</v>
      </c>
    </row>
    <row r="12" customFormat="false" ht="39.75" hidden="false" customHeight="true" outlineLevel="0" collapsed="false">
      <c r="B12" s="6" t="n">
        <v>7</v>
      </c>
      <c r="C12" s="5" t="s">
        <v>338</v>
      </c>
      <c r="D12" s="5" t="s">
        <v>339</v>
      </c>
      <c r="E12" s="6" t="s">
        <v>321</v>
      </c>
      <c r="F12" s="6" t="s">
        <v>334</v>
      </c>
      <c r="G12" s="5" t="s">
        <v>203</v>
      </c>
      <c r="H12" s="50" t="s">
        <v>137</v>
      </c>
    </row>
    <row r="13" customFormat="false" ht="39.75" hidden="false" customHeight="true" outlineLevel="0" collapsed="false">
      <c r="B13" s="8" t="n">
        <v>8</v>
      </c>
      <c r="C13" s="7" t="s">
        <v>340</v>
      </c>
      <c r="D13" s="7" t="s">
        <v>341</v>
      </c>
      <c r="E13" s="8" t="s">
        <v>330</v>
      </c>
      <c r="F13" s="8" t="s">
        <v>342</v>
      </c>
      <c r="G13" s="7" t="s">
        <v>205</v>
      </c>
      <c r="H13" s="50" t="s">
        <v>137</v>
      </c>
    </row>
    <row r="14" customFormat="false" ht="39.75" hidden="false" customHeight="true" outlineLevel="0" collapsed="false">
      <c r="B14" s="6" t="n">
        <v>9</v>
      </c>
      <c r="C14" s="5" t="s">
        <v>343</v>
      </c>
      <c r="D14" s="5" t="s">
        <v>344</v>
      </c>
      <c r="E14" s="6" t="s">
        <v>330</v>
      </c>
      <c r="F14" s="6" t="s">
        <v>331</v>
      </c>
      <c r="G14" s="5" t="s">
        <v>207</v>
      </c>
      <c r="H14" s="50" t="s">
        <v>137</v>
      </c>
    </row>
    <row r="15" customFormat="false" ht="39.75" hidden="false" customHeight="true" outlineLevel="0" collapsed="false">
      <c r="B15" s="8" t="n">
        <v>10</v>
      </c>
      <c r="C15" s="7" t="s">
        <v>345</v>
      </c>
      <c r="D15" s="7" t="s">
        <v>346</v>
      </c>
      <c r="E15" s="8" t="s">
        <v>347</v>
      </c>
      <c r="F15" s="8" t="s">
        <v>317</v>
      </c>
      <c r="G15" s="7" t="s">
        <v>213</v>
      </c>
      <c r="H15" s="50" t="s">
        <v>137</v>
      </c>
    </row>
    <row r="17" customFormat="false" ht="15" hidden="false" customHeight="false" outlineLevel="0" collapsed="false">
      <c r="B17" s="3" t="s">
        <v>348</v>
      </c>
      <c r="C17" s="3"/>
      <c r="D17" s="3"/>
      <c r="E17" s="3"/>
      <c r="F17" s="3"/>
      <c r="G17" s="3"/>
      <c r="H17" s="3"/>
    </row>
  </sheetData>
  <mergeCells count="3">
    <mergeCell ref="B2:H2"/>
    <mergeCell ref="B3:H3"/>
    <mergeCell ref="B17:H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2026-04-28T21:05:40Z</dcterms:created>
  <dc:creator/>
  <dc:description/>
  <dc:language>en-US</dc:language>
  <cp:lastModifiedBy/>
  <dcterms:modified xsi:type="dcterms:W3CDTF">2026-04-29T05:05:48Z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